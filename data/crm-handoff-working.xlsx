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91025dc40c40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f14bdd67c5bb4a3b"/>
    <x:sheet xmlns:r="http://schemas.openxmlformats.org/officeDocument/2006/relationships" name="Paste Notion Export" sheetId="2" r:id="R44c0817af69c4760"/>
    <x:sheet xmlns:r="http://schemas.openxmlformats.org/officeDocument/2006/relationships" name="Attio Upload" sheetId="3" r:id="R74b97083a1c346c8"/>
    <x:sheet xmlns:r="http://schemas.openxmlformats.org/officeDocument/2006/relationships" name="Mappings" sheetId="4" r:id="Rfaeb07b07fb44e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b/>
      <x:sz val="22"/>
      <x:color rgb="FFFFFFFF"/>
      <x:name val="Carlito"/>
    </x:font>
    <x:font>
      <x:b/>
      <x:sz val="11"/>
      <x:color rgb="FFFFFFFF"/>
      <x:name val="Carlito"/>
    </x:font>
    <x:font>
      <x:b/>
      <x:sz val="11"/>
      <x:color rgb="FF2F684E"/>
      <x:name val="Carlito"/>
    </x:font>
    <x:font>
      <x:sz val="11"/>
      <x:color rgb="FF17231B"/>
      <x:name val="Carlito"/>
    </x:font>
    <x:font>
      <x:b/>
      <x:sz val="11"/>
      <x:color rgb="FF17231B"/>
      <x:name val="Carlito"/>
    </x:font>
    <x:font>
      <x:i/>
      <x:sz val="11"/>
      <x:color rgb="FF4F5B5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231B"/>
      </x:patternFill>
    </x:fill>
    <x:fill>
      <x:patternFill patternType="solid">
        <x:fgColor rgb="FF2F684E"/>
      </x:patternFill>
    </x:fill>
    <x:fill>
      <x:patternFill patternType="solid">
        <x:fgColor rgb="FFEAF2EC"/>
      </x:patternFill>
    </x:fill>
    <x:fill>
      <x:patternFill patternType="solid">
        <x:fgColor rgb="FFF8E4B5"/>
      </x:patternFill>
    </x:fill>
    <x:fill>
      <x:patternFill patternType="solid">
        <x:fgColor rgb="FFF4F0E7"/>
      </x:patternFill>
    </x:fill>
  </x:fills>
  <x:borders count="10">
    <x:border/>
    <x:border>
      <x:right style="thin">
        <x:color rgb="FFD7DDD8"/>
      </x:right>
      <x:bottom style="thin">
        <x:color rgb="FFD7DDD8"/>
      </x:bottom>
    </x:border>
    <x:border>
      <x:left style="thin">
        <x:color rgb="FFD7DDD8"/>
      </x:left>
      <x:right style="thin">
        <x:color rgb="FFD7DDD8"/>
      </x:right>
      <x:bottom style="thin">
        <x:color rgb="FFD7DDD8"/>
      </x:bottom>
    </x:border>
    <x:border>
      <x:left style="thin">
        <x:color rgb="FFD7DDD8"/>
      </x:left>
      <x:bottom style="thin">
        <x:color rgb="FFD7DDD8"/>
      </x:bottom>
    </x:border>
    <x:border>
      <x:right style="thin">
        <x:color rgb="FFD7DDD8"/>
      </x:right>
      <x:top style="thin">
        <x:color rgb="FFD7DDD8"/>
      </x:top>
      <x:bottom style="thin">
        <x:color rgb="FFD7DDD8"/>
      </x:bottom>
    </x:border>
    <x:border>
      <x:left style="thin">
        <x:color rgb="FFD7DDD8"/>
      </x:left>
      <x:right style="thin">
        <x:color rgb="FFD7DDD8"/>
      </x:right>
      <x:top style="thin">
        <x:color rgb="FFD7DDD8"/>
      </x:top>
      <x:bottom style="thin">
        <x:color rgb="FFD7DDD8"/>
      </x:bottom>
    </x:border>
    <x:border>
      <x:left style="thin">
        <x:color rgb="FFD7DDD8"/>
      </x:left>
      <x:top style="thin">
        <x:color rgb="FFD7DDD8"/>
      </x:top>
      <x:bottom style="thin">
        <x:color rgb="FFD7DDD8"/>
      </x:bottom>
    </x:border>
    <x:border>
      <x:right style="thin">
        <x:color rgb="FFD7DDD8"/>
      </x:right>
      <x:top style="thin">
        <x:color rgb="FFD7DDD8"/>
      </x:top>
    </x:border>
    <x:border>
      <x:left style="thin">
        <x:color rgb="FFD7DDD8"/>
      </x:left>
      <x:right style="thin">
        <x:color rgb="FFD7DDD8"/>
      </x:right>
      <x:top style="thin">
        <x:color rgb="FFD7DDD8"/>
      </x:top>
    </x:border>
    <x:border>
      <x:left style="thin">
        <x:color rgb="FFD7DDD8"/>
      </x:left>
      <x:top style="thin">
        <x:color rgb="FFD7DDD8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200" fontId="4" fillId="0" borderId="2" xfId="0" applyNumberFormat="1" applyFont="1" applyFill="1" applyBorder="1"/>
    <x:xf numFmtId="200" fontId="4" fillId="0" borderId="5" xfId="0" applyNumberFormat="1" applyFont="1" applyFill="1" applyBorder="1"/>
    <x:xf numFmtId="200" fontId="4" fillId="0" borderId="8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8A231D"/>
      </x:font>
      <x:fill>
        <x:patternFill patternType="solid">
          <x:bgColor rgb="FFF6C8C2"/>
        </x:patternFill>
      </x:fill>
    </x:dxf>
    <x:dxf>
      <x:font>
        <x:color rgb="FF2F684E"/>
      </x:font>
      <x:fill>
        <x:patternFill patternType="solid">
          <x:bgColor rgb="FFEAF2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f3d74106c84c8e" /><Relationship Type="http://schemas.openxmlformats.org/officeDocument/2006/relationships/theme" Target="/xl/theme/theme1.xml" Id="R43e038106f1c4718" /><Relationship Type="http://schemas.openxmlformats.org/officeDocument/2006/relationships/sharedStrings" Target="/xl/sharedStrings.xml" Id="R707896a3911e4527" /><Relationship Type="http://schemas.openxmlformats.org/officeDocument/2006/relationships/worksheet" Target="/xl/worksheets/sheet1.xml" Id="Rf14bdd67c5bb4a3b" /><Relationship Type="http://schemas.openxmlformats.org/officeDocument/2006/relationships/worksheet" Target="/xl/worksheets/sheet2.xml" Id="R44c0817af69c4760" /><Relationship Type="http://schemas.openxmlformats.org/officeDocument/2006/relationships/worksheet" Target="/xl/worksheets/sheet3.xml" Id="R74b97083a1c346c8" /><Relationship Type="http://schemas.openxmlformats.org/officeDocument/2006/relationships/worksheet" Target="/xl/worksheets/sheet4.xml" Id="Rfaeb07b07fb44e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0" hidden="0" customWidth="1"/>
  </x:cols>
  <x:sheetData>
    <x:row r="1" ht="30" customHeight="1">
      <x:c r="A1" s="3" t="str">
        <x:v>CRM handoff working sheet</x:v>
      </x:c>
      <x:c r="B1" s="3"/>
      <x:c r="C1" s="3"/>
      <x:c r="D1" s="3"/>
      <x:c r="E1" s="3"/>
      <x:c r="F1" s="3"/>
      <x:c r="G1" s="3"/>
      <x:c r="H1" s="3"/>
    </x:row>
    <x:row r="2" ht="22" customHeight="1">
      <x:c r="A2" s="3"/>
      <x:c r="B2" s="3"/>
      <x:c r="C2" s="3"/>
      <x:c r="D2" s="3"/>
      <x:c r="E2" s="3"/>
      <x:c r="F2" s="3"/>
      <x:c r="G2" s="3"/>
      <x:c r="H2" s="3"/>
    </x:row>
    <x:row r="3" ht="22" customHeight="1"/>
    <x:row r="4" ht="22" customHeight="1">
      <x:c r="A4" s="5" t="str">
        <x:v>Weekly workflow</x:v>
      </x:c>
      <x:c r="B4" s="5"/>
      <x:c r="C4" s="5"/>
      <x:c r="D4" s="5"/>
      <x:c r="E4" s="5"/>
      <x:c r="F4" s="5"/>
      <x:c r="G4" s="5"/>
      <x:c r="H4" s="5"/>
    </x:row>
    <x:row r="5" ht="22" customHeight="1"/>
    <x:row r="6" ht="38" customHeight="1">
      <x:c r="A6" s="8" t="str">
        <x:v>1</x:v>
      </x:c>
      <x:c r="B6" s="10" t="str">
        <x:v>Filter the Notion database to CRM status = Ready for CRM and the current batch.</x:v>
      </x:c>
    </x:row>
    <x:row r="7" ht="38" customHeight="1">
      <x:c r="A7" s="8" t="str">
        <x:v>2</x:v>
      </x:c>
      <x:c r="B7" s="10" t="str">
        <x:v>Export the filtered view as CSV.</x:v>
      </x:c>
    </x:row>
    <x:row r="8" ht="38" customHeight="1">
      <x:c r="A8" s="8" t="str">
        <x:v>3</x:v>
      </x:c>
      <x:c r="B8" s="10" t="str">
        <x:v>Paste the exported rows into ‘Paste Notion Export’, beginning at A2. Keep the headers in row 1.</x:v>
      </x:c>
    </x:row>
    <x:row r="9" ht="38" customHeight="1">
      <x:c r="A9" s="8" t="str">
        <x:v>4</x:v>
      </x:c>
      <x:c r="B9" s="10" t="str">
        <x:v>Review the generated rows in ‘Attio Upload’. Correct anything that looks wrong.</x:v>
      </x:c>
    </x:row>
    <x:row r="10" ht="38" customHeight="1">
      <x:c r="A10" s="8" t="str">
        <x:v>5</x:v>
      </x:c>
      <x:c r="B10" s="10" t="str">
        <x:v>Search Attio, then create or update the company and person and add the company to Qualified accounts.</x:v>
      </x:c>
    </x:row>
    <x:row r="11" ht="38" customHeight="1">
      <x:c r="A11" s="8" t="str">
        <x:v>6</x:v>
      </x:c>
      <x:c r="B11" s="10" t="str">
        <x:v>Once the batch is done, mark the source rows Imported in Notion.</x:v>
      </x:c>
    </x:row>
    <x:row r="12" ht="22" customHeight="1"/>
    <x:row r="13" ht="30" customHeight="1">
      <x:c r="A13" s="13" t="str">
        <x:v>Working rule: if a match is uncertain, leave the row in CHECK and ask Maya before creating a new record.</x:v>
      </x:c>
      <x:c r="B13" s="13"/>
      <x:c r="C13" s="13"/>
      <x:c r="D13" s="13"/>
      <x:c r="E13" s="13"/>
      <x:c r="F13" s="13"/>
      <x:c r="G13" s="13"/>
      <x:c r="H13" s="13"/>
    </x:row>
    <x:row r="14" ht="22" customHeight="1"/>
    <x:row r="15" ht="28" customHeight="1">
      <x:c r="A15" s="17" t="str">
        <x:v>This is an intentionally ordinary internal worksheet. It was made for a weekly handoff and has evolved through copy/paste. The formulas are not a specification of the CRM’s data model.</x:v>
      </x:c>
      <x:c r="B15" s="17"/>
      <x:c r="C15" s="17"/>
      <x:c r="D15" s="17"/>
      <x:c r="E15" s="17"/>
      <x:c r="F15" s="17"/>
      <x:c r="G15" s="17"/>
      <x:c r="H15" s="17"/>
    </x:row>
    <x:row r="16" ht="28" customHeight="1">
      <x:c r="A16" s="17"/>
      <x:c r="B16" s="17"/>
      <x:c r="C16" s="17"/>
      <x:c r="D16" s="17"/>
      <x:c r="E16" s="17"/>
      <x:c r="F16" s="17"/>
      <x:c r="G16" s="17"/>
      <x:c r="H16" s="17"/>
    </x:row>
    <x:row r="17" ht="28" customHeight="1">
      <x:c r="A17" s="17"/>
      <x:c r="B17" s="17"/>
      <x:c r="C17" s="17"/>
      <x:c r="D17" s="17"/>
      <x:c r="E17" s="17"/>
      <x:c r="F17" s="17"/>
      <x:c r="G17" s="17"/>
      <x:c r="H17" s="17"/>
    </x:row>
    <x:row r="18" ht="22" customHeight="1"/>
    <x:row r="19" ht="22" customHeight="1"/>
    <x:row r="20" ht="22" customHeight="1"/>
  </x:sheetData>
  <x:mergeCells>
    <x:mergeCell ref="A1:H2"/>
    <x:mergeCell ref="A4:H4"/>
    <x:mergeCell ref="A13:H13"/>
    <x:mergeCell ref="A15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30" hidden="0" customWidth="1"/>
    <x:col min="4" max="4" width="24" hidden="0" customWidth="1"/>
    <x:col min="5" max="5" width="24" hidden="0" customWidth="1"/>
    <x:col min="6" max="6" width="24" hidden="0" customWidth="1"/>
    <x:col min="7" max="7" width="3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5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 ht="22" customHeight="1">
      <x:c r="A1" s="19" t="str">
        <x:v>Source ID</x:v>
      </x:c>
      <x:c r="B1" s="19" t="str">
        <x:v>Account</x:v>
      </x:c>
      <x:c r="C1" s="19" t="str">
        <x:v>Website</x:v>
      </x:c>
      <x:c r="D1" s="19" t="str">
        <x:v>Contact</x:v>
      </x:c>
      <x:c r="E1" s="19" t="str">
        <x:v>Work email</x:v>
      </x:c>
      <x:c r="F1" s="19" t="str">
        <x:v>Job title</x:v>
      </x:c>
      <x:c r="G1" s="19" t="str">
        <x:v>LinkedIn</x:v>
      </x:c>
      <x:c r="H1" s="19" t="str">
        <x:v>Lead source</x:v>
      </x:c>
      <x:c r="I1" s="19" t="str">
        <x:v>Segment</x:v>
      </x:c>
      <x:c r="J1" s="19" t="str">
        <x:v>Employees</x:v>
      </x:c>
      <x:c r="K1" s="19" t="str">
        <x:v>HQ</x:v>
      </x:c>
      <x:c r="L1" s="19" t="str">
        <x:v>Research notes</x:v>
      </x:c>
      <x:c r="M1" s="19" t="str">
        <x:v>Owner</x:v>
      </x:c>
      <x:c r="N1" s="19" t="str">
        <x:v>Qualified on</x:v>
      </x:c>
      <x:c r="O1" s="19" t="str">
        <x:v>Batch</x:v>
      </x:c>
      <x:c r="P1" s="19" t="str">
        <x:v>CRM status</x:v>
      </x:c>
      <x:c r="Q1" s="19" t="str">
        <x:v>CRM company ID</x:v>
      </x:c>
      <x:c r="R1" s="19" t="str">
        <x:v>CRM person ID</x:v>
      </x:c>
    </x:row>
    <x:row r="2" ht="22" customHeight="1">
      <x:c r="A2" s="20"/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9"/>
      <x:c r="O2" s="21"/>
      <x:c r="P2" s="21"/>
      <x:c r="Q2" s="21"/>
      <x:c r="R2" s="22"/>
    </x:row>
    <x:row r="3" ht="22" customHeight="1">
      <x:c r="A3" s="23"/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30"/>
      <x:c r="O3" s="24"/>
      <x:c r="P3" s="24"/>
      <x:c r="Q3" s="24"/>
      <x:c r="R3" s="25"/>
    </x:row>
    <x:row r="4" ht="22" customHeight="1">
      <x:c r="A4" s="23"/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30"/>
      <x:c r="O4" s="24"/>
      <x:c r="P4" s="24"/>
      <x:c r="Q4" s="24"/>
      <x:c r="R4" s="25"/>
    </x:row>
    <x:row r="5" ht="22" customHeight="1">
      <x:c r="A5" s="23"/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  <x:c r="M5" s="24"/>
      <x:c r="N5" s="30"/>
      <x:c r="O5" s="24"/>
      <x:c r="P5" s="24"/>
      <x:c r="Q5" s="24"/>
      <x:c r="R5" s="25"/>
    </x:row>
    <x:row r="6" ht="22" customHeight="1">
      <x:c r="A6" s="23"/>
      <x:c r="B6" s="24"/>
      <x:c r="C6" s="24"/>
      <x:c r="D6" s="24"/>
      <x:c r="E6" s="24"/>
      <x:c r="F6" s="24"/>
      <x:c r="G6" s="24"/>
      <x:c r="H6" s="24"/>
      <x:c r="I6" s="24"/>
      <x:c r="J6" s="24"/>
      <x:c r="K6" s="24"/>
      <x:c r="L6" s="24"/>
      <x:c r="M6" s="24"/>
      <x:c r="N6" s="30"/>
      <x:c r="O6" s="24"/>
      <x:c r="P6" s="24"/>
      <x:c r="Q6" s="24"/>
      <x:c r="R6" s="25"/>
    </x:row>
    <x:row r="7" ht="22" customHeight="1">
      <x:c r="A7" s="23"/>
      <x:c r="B7" s="24"/>
      <x:c r="C7" s="24"/>
      <x:c r="D7" s="24"/>
      <x:c r="E7" s="24"/>
      <x:c r="F7" s="24"/>
      <x:c r="G7" s="24"/>
      <x:c r="H7" s="24"/>
      <x:c r="I7" s="24"/>
      <x:c r="J7" s="24"/>
      <x:c r="K7" s="24"/>
      <x:c r="L7" s="24"/>
      <x:c r="M7" s="24"/>
      <x:c r="N7" s="30"/>
      <x:c r="O7" s="24"/>
      <x:c r="P7" s="24"/>
      <x:c r="Q7" s="24"/>
      <x:c r="R7" s="25"/>
    </x:row>
    <x:row r="8" ht="22" customHeight="1">
      <x:c r="A8" s="23"/>
      <x:c r="B8" s="24"/>
      <x:c r="C8" s="24"/>
      <x:c r="D8" s="24"/>
      <x:c r="E8" s="24"/>
      <x:c r="F8" s="24"/>
      <x:c r="G8" s="24"/>
      <x:c r="H8" s="24"/>
      <x:c r="I8" s="24"/>
      <x:c r="J8" s="24"/>
      <x:c r="K8" s="24"/>
      <x:c r="L8" s="24"/>
      <x:c r="M8" s="24"/>
      <x:c r="N8" s="30"/>
      <x:c r="O8" s="24"/>
      <x:c r="P8" s="24"/>
      <x:c r="Q8" s="24"/>
      <x:c r="R8" s="25"/>
    </x:row>
    <x:row r="9" ht="22" customHeight="1">
      <x:c r="A9" s="23"/>
      <x:c r="B9" s="24"/>
      <x:c r="C9" s="24"/>
      <x:c r="D9" s="24"/>
      <x:c r="E9" s="24"/>
      <x:c r="F9" s="24"/>
      <x:c r="G9" s="24"/>
      <x:c r="H9" s="24"/>
      <x:c r="I9" s="24"/>
      <x:c r="J9" s="24"/>
      <x:c r="K9" s="24"/>
      <x:c r="L9" s="24"/>
      <x:c r="M9" s="24"/>
      <x:c r="N9" s="30"/>
      <x:c r="O9" s="24"/>
      <x:c r="P9" s="24"/>
      <x:c r="Q9" s="24"/>
      <x:c r="R9" s="25"/>
    </x:row>
    <x:row r="10" ht="22" customHeight="1">
      <x:c r="A10" s="23"/>
      <x:c r="B10" s="24"/>
      <x:c r="C10" s="24"/>
      <x:c r="D10" s="24"/>
      <x:c r="E10" s="24"/>
      <x:c r="F10" s="24"/>
      <x:c r="G10" s="24"/>
      <x:c r="H10" s="24"/>
      <x:c r="I10" s="24"/>
      <x:c r="J10" s="24"/>
      <x:c r="K10" s="24"/>
      <x:c r="L10" s="24"/>
      <x:c r="M10" s="24"/>
      <x:c r="N10" s="30"/>
      <x:c r="O10" s="24"/>
      <x:c r="P10" s="24"/>
      <x:c r="Q10" s="24"/>
      <x:c r="R10" s="25"/>
    </x:row>
    <x:row r="11" ht="22" customHeight="1">
      <x:c r="A11" s="23"/>
      <x:c r="B11" s="24"/>
      <x:c r="C11" s="24"/>
      <x:c r="D11" s="24"/>
      <x:c r="E11" s="24"/>
      <x:c r="F11" s="24"/>
      <x:c r="G11" s="24"/>
      <x:c r="H11" s="24"/>
      <x:c r="I11" s="24"/>
      <x:c r="J11" s="24"/>
      <x:c r="K11" s="24"/>
      <x:c r="L11" s="24"/>
      <x:c r="M11" s="24"/>
      <x:c r="N11" s="30"/>
      <x:c r="O11" s="24"/>
      <x:c r="P11" s="24"/>
      <x:c r="Q11" s="24"/>
      <x:c r="R11" s="25"/>
    </x:row>
    <x:row r="12" ht="22" customHeight="1">
      <x:c r="A12" s="23"/>
      <x:c r="B12" s="24"/>
      <x:c r="C12" s="24"/>
      <x:c r="D12" s="24"/>
      <x:c r="E12" s="24"/>
      <x:c r="F12" s="24"/>
      <x:c r="G12" s="24"/>
      <x:c r="H12" s="24"/>
      <x:c r="I12" s="24"/>
      <x:c r="J12" s="24"/>
      <x:c r="K12" s="24"/>
      <x:c r="L12" s="24"/>
      <x:c r="M12" s="24"/>
      <x:c r="N12" s="30"/>
      <x:c r="O12" s="24"/>
      <x:c r="P12" s="24"/>
      <x:c r="Q12" s="24"/>
      <x:c r="R12" s="25"/>
    </x:row>
    <x:row r="13" ht="22" customHeight="1">
      <x:c r="A13" s="23"/>
      <x:c r="B13" s="24"/>
      <x:c r="C13" s="24"/>
      <x:c r="D13" s="24"/>
      <x:c r="E13" s="24"/>
      <x:c r="F13" s="24"/>
      <x:c r="G13" s="24"/>
      <x:c r="H13" s="24"/>
      <x:c r="I13" s="24"/>
      <x:c r="J13" s="24"/>
      <x:c r="K13" s="24"/>
      <x:c r="L13" s="24"/>
      <x:c r="M13" s="24"/>
      <x:c r="N13" s="30"/>
      <x:c r="O13" s="24"/>
      <x:c r="P13" s="24"/>
      <x:c r="Q13" s="24"/>
      <x:c r="R13" s="25"/>
    </x:row>
    <x:row r="14" ht="22" customHeight="1">
      <x:c r="A14" s="23"/>
      <x:c r="B14" s="24"/>
      <x:c r="C14" s="24"/>
      <x:c r="D14" s="24"/>
      <x:c r="E14" s="24"/>
      <x:c r="F14" s="24"/>
      <x:c r="G14" s="24"/>
      <x:c r="H14" s="24"/>
      <x:c r="I14" s="24"/>
      <x:c r="J14" s="24"/>
      <x:c r="K14" s="24"/>
      <x:c r="L14" s="24"/>
      <x:c r="M14" s="24"/>
      <x:c r="N14" s="30"/>
      <x:c r="O14" s="24"/>
      <x:c r="P14" s="24"/>
      <x:c r="Q14" s="24"/>
      <x:c r="R14" s="25"/>
    </x:row>
    <x:row r="15" ht="22" customHeight="1">
      <x:c r="A15" s="23"/>
      <x:c r="B15" s="24"/>
      <x:c r="C15" s="24"/>
      <x:c r="D15" s="24"/>
      <x:c r="E15" s="24"/>
      <x:c r="F15" s="24"/>
      <x:c r="G15" s="24"/>
      <x:c r="H15" s="24"/>
      <x:c r="I15" s="24"/>
      <x:c r="J15" s="24"/>
      <x:c r="K15" s="24"/>
      <x:c r="L15" s="24"/>
      <x:c r="M15" s="24"/>
      <x:c r="N15" s="30"/>
      <x:c r="O15" s="24"/>
      <x:c r="P15" s="24"/>
      <x:c r="Q15" s="24"/>
      <x:c r="R15" s="25"/>
    </x:row>
    <x:row r="16" ht="22" customHeight="1">
      <x:c r="A16" s="23"/>
      <x:c r="B16" s="24"/>
      <x:c r="C16" s="24"/>
      <x:c r="D16" s="24"/>
      <x:c r="E16" s="24"/>
      <x:c r="F16" s="24"/>
      <x:c r="G16" s="24"/>
      <x:c r="H16" s="24"/>
      <x:c r="I16" s="24"/>
      <x:c r="J16" s="24"/>
      <x:c r="K16" s="24"/>
      <x:c r="L16" s="24"/>
      <x:c r="M16" s="24"/>
      <x:c r="N16" s="30"/>
      <x:c r="O16" s="24"/>
      <x:c r="P16" s="24"/>
      <x:c r="Q16" s="24"/>
      <x:c r="R16" s="25"/>
    </x:row>
    <x:row r="17" ht="22" customHeight="1">
      <x:c r="A17" s="23"/>
      <x:c r="B17" s="24"/>
      <x:c r="C17" s="24"/>
      <x:c r="D17" s="24"/>
      <x:c r="E17" s="24"/>
      <x:c r="F17" s="24"/>
      <x:c r="G17" s="24"/>
      <x:c r="H17" s="24"/>
      <x:c r="I17" s="24"/>
      <x:c r="J17" s="24"/>
      <x:c r="K17" s="24"/>
      <x:c r="L17" s="24"/>
      <x:c r="M17" s="24"/>
      <x:c r="N17" s="30"/>
      <x:c r="O17" s="24"/>
      <x:c r="P17" s="24"/>
      <x:c r="Q17" s="24"/>
      <x:c r="R17" s="25"/>
    </x:row>
    <x:row r="18" ht="22" customHeight="1">
      <x:c r="A18" s="23"/>
      <x:c r="B18" s="24"/>
      <x:c r="C18" s="24"/>
      <x:c r="D18" s="24"/>
      <x:c r="E18" s="24"/>
      <x:c r="F18" s="24"/>
      <x:c r="G18" s="24"/>
      <x:c r="H18" s="24"/>
      <x:c r="I18" s="24"/>
      <x:c r="J18" s="24"/>
      <x:c r="K18" s="24"/>
      <x:c r="L18" s="24"/>
      <x:c r="M18" s="24"/>
      <x:c r="N18" s="30"/>
      <x:c r="O18" s="24"/>
      <x:c r="P18" s="24"/>
      <x:c r="Q18" s="24"/>
      <x:c r="R18" s="25"/>
    </x:row>
    <x:row r="19" ht="22" customHeight="1">
      <x:c r="A19" s="23"/>
      <x:c r="B19" s="24"/>
      <x:c r="C19" s="24"/>
      <x:c r="D19" s="24"/>
      <x:c r="E19" s="24"/>
      <x:c r="F19" s="24"/>
      <x:c r="G19" s="24"/>
      <x:c r="H19" s="24"/>
      <x:c r="I19" s="24"/>
      <x:c r="J19" s="24"/>
      <x:c r="K19" s="24"/>
      <x:c r="L19" s="24"/>
      <x:c r="M19" s="24"/>
      <x:c r="N19" s="30"/>
      <x:c r="O19" s="24"/>
      <x:c r="P19" s="24"/>
      <x:c r="Q19" s="24"/>
      <x:c r="R19" s="25"/>
    </x:row>
    <x:row r="20" ht="22" customHeight="1">
      <x:c r="A20" s="23"/>
      <x:c r="B20" s="24"/>
      <x:c r="C20" s="24"/>
      <x:c r="D20" s="24"/>
      <x:c r="E20" s="24"/>
      <x:c r="F20" s="24"/>
      <x:c r="G20" s="24"/>
      <x:c r="H20" s="24"/>
      <x:c r="I20" s="24"/>
      <x:c r="J20" s="24"/>
      <x:c r="K20" s="24"/>
      <x:c r="L20" s="24"/>
      <x:c r="M20" s="24"/>
      <x:c r="N20" s="30"/>
      <x:c r="O20" s="24"/>
      <x:c r="P20" s="24"/>
      <x:c r="Q20" s="24"/>
      <x:c r="R20" s="25"/>
    </x:row>
    <x:row r="21" ht="22" customHeight="1">
      <x:c r="A21" s="23"/>
      <x:c r="B21" s="24"/>
      <x:c r="C21" s="24"/>
      <x:c r="D21" s="24"/>
      <x:c r="E21" s="24"/>
      <x:c r="F21" s="24"/>
      <x:c r="G21" s="24"/>
      <x:c r="H21" s="24"/>
      <x:c r="I21" s="24"/>
      <x:c r="J21" s="24"/>
      <x:c r="K21" s="24"/>
      <x:c r="L21" s="24"/>
      <x:c r="M21" s="24"/>
      <x:c r="N21" s="30"/>
      <x:c r="O21" s="24"/>
      <x:c r="P21" s="24"/>
      <x:c r="Q21" s="24"/>
      <x:c r="R21" s="25"/>
    </x:row>
    <x:row r="22" ht="22" customHeight="1">
      <x:c r="A22" s="23"/>
      <x:c r="B22" s="24"/>
      <x:c r="C22" s="24"/>
      <x:c r="D22" s="24"/>
      <x:c r="E22" s="24"/>
      <x:c r="F22" s="24"/>
      <x:c r="G22" s="24"/>
      <x:c r="H22" s="24"/>
      <x:c r="I22" s="24"/>
      <x:c r="J22" s="24"/>
      <x:c r="K22" s="24"/>
      <x:c r="L22" s="24"/>
      <x:c r="M22" s="24"/>
      <x:c r="N22" s="30"/>
      <x:c r="O22" s="24"/>
      <x:c r="P22" s="24"/>
      <x:c r="Q22" s="24"/>
      <x:c r="R22" s="25"/>
    </x:row>
    <x:row r="23" ht="22" customHeight="1">
      <x:c r="A23" s="23"/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  <x:c r="L23" s="24"/>
      <x:c r="M23" s="24"/>
      <x:c r="N23" s="30"/>
      <x:c r="O23" s="24"/>
      <x:c r="P23" s="24"/>
      <x:c r="Q23" s="24"/>
      <x:c r="R23" s="25"/>
    </x:row>
    <x:row r="24" ht="22" customHeight="1">
      <x:c r="A24" s="23"/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  <x:c r="L24" s="24"/>
      <x:c r="M24" s="24"/>
      <x:c r="N24" s="30"/>
      <x:c r="O24" s="24"/>
      <x:c r="P24" s="24"/>
      <x:c r="Q24" s="24"/>
      <x:c r="R24" s="25"/>
    </x:row>
    <x:row r="25" ht="22" customHeight="1">
      <x:c r="A25" s="23"/>
      <x:c r="B25" s="24"/>
      <x:c r="C25" s="24"/>
      <x:c r="D25" s="24"/>
      <x:c r="E25" s="24"/>
      <x:c r="F25" s="24"/>
      <x:c r="G25" s="24"/>
      <x:c r="H25" s="24"/>
      <x:c r="I25" s="24"/>
      <x:c r="J25" s="24"/>
      <x:c r="K25" s="24"/>
      <x:c r="L25" s="24"/>
      <x:c r="M25" s="24"/>
      <x:c r="N25" s="30"/>
      <x:c r="O25" s="24"/>
      <x:c r="P25" s="24"/>
      <x:c r="Q25" s="24"/>
      <x:c r="R25" s="25"/>
    </x:row>
    <x:row r="26" ht="22" customHeight="1">
      <x:c r="A26" s="23"/>
      <x:c r="B26" s="24"/>
      <x:c r="C26" s="24"/>
      <x:c r="D26" s="24"/>
      <x:c r="E26" s="24"/>
      <x:c r="F26" s="24"/>
      <x:c r="G26" s="24"/>
      <x:c r="H26" s="24"/>
      <x:c r="I26" s="24"/>
      <x:c r="J26" s="24"/>
      <x:c r="K26" s="24"/>
      <x:c r="L26" s="24"/>
      <x:c r="M26" s="24"/>
      <x:c r="N26" s="30"/>
      <x:c r="O26" s="24"/>
      <x:c r="P26" s="24"/>
      <x:c r="Q26" s="24"/>
      <x:c r="R26" s="25"/>
    </x:row>
    <x:row r="27" ht="22" customHeight="1">
      <x:c r="A27" s="23"/>
      <x:c r="B27" s="24"/>
      <x:c r="C27" s="24"/>
      <x:c r="D27" s="24"/>
      <x:c r="E27" s="24"/>
      <x:c r="F27" s="24"/>
      <x:c r="G27" s="24"/>
      <x:c r="H27" s="24"/>
      <x:c r="I27" s="24"/>
      <x:c r="J27" s="24"/>
      <x:c r="K27" s="24"/>
      <x:c r="L27" s="24"/>
      <x:c r="M27" s="24"/>
      <x:c r="N27" s="30"/>
      <x:c r="O27" s="24"/>
      <x:c r="P27" s="24"/>
      <x:c r="Q27" s="24"/>
      <x:c r="R27" s="25"/>
    </x:row>
    <x:row r="28" ht="22" customHeight="1">
      <x:c r="A28" s="23"/>
      <x:c r="B28" s="24"/>
      <x:c r="C28" s="24"/>
      <x:c r="D28" s="24"/>
      <x:c r="E28" s="24"/>
      <x:c r="F28" s="24"/>
      <x:c r="G28" s="24"/>
      <x:c r="H28" s="24"/>
      <x:c r="I28" s="24"/>
      <x:c r="J28" s="24"/>
      <x:c r="K28" s="24"/>
      <x:c r="L28" s="24"/>
      <x:c r="M28" s="24"/>
      <x:c r="N28" s="30"/>
      <x:c r="O28" s="24"/>
      <x:c r="P28" s="24"/>
      <x:c r="Q28" s="24"/>
      <x:c r="R28" s="25"/>
    </x:row>
    <x:row r="29" ht="22" customHeight="1">
      <x:c r="A29" s="23"/>
      <x:c r="B29" s="24"/>
      <x:c r="C29" s="24"/>
      <x:c r="D29" s="24"/>
      <x:c r="E29" s="24"/>
      <x:c r="F29" s="24"/>
      <x:c r="G29" s="24"/>
      <x:c r="H29" s="24"/>
      <x:c r="I29" s="24"/>
      <x:c r="J29" s="24"/>
      <x:c r="K29" s="24"/>
      <x:c r="L29" s="24"/>
      <x:c r="M29" s="24"/>
      <x:c r="N29" s="30"/>
      <x:c r="O29" s="24"/>
      <x:c r="P29" s="24"/>
      <x:c r="Q29" s="24"/>
      <x:c r="R29" s="25"/>
    </x:row>
    <x:row r="30" ht="22" customHeight="1">
      <x:c r="A30" s="23"/>
      <x:c r="B30" s="24"/>
      <x:c r="C30" s="24"/>
      <x:c r="D30" s="24"/>
      <x:c r="E30" s="24"/>
      <x:c r="F30" s="24"/>
      <x:c r="G30" s="24"/>
      <x:c r="H30" s="24"/>
      <x:c r="I30" s="24"/>
      <x:c r="J30" s="24"/>
      <x:c r="K30" s="24"/>
      <x:c r="L30" s="24"/>
      <x:c r="M30" s="24"/>
      <x:c r="N30" s="30"/>
      <x:c r="O30" s="24"/>
      <x:c r="P30" s="24"/>
      <x:c r="Q30" s="24"/>
      <x:c r="R30" s="25"/>
    </x:row>
    <x:row r="31" ht="22" customHeight="1">
      <x:c r="A31" s="23"/>
      <x:c r="B31" s="24"/>
      <x:c r="C31" s="24"/>
      <x:c r="D31" s="24"/>
      <x:c r="E31" s="24"/>
      <x:c r="F31" s="24"/>
      <x:c r="G31" s="24"/>
      <x:c r="H31" s="24"/>
      <x:c r="I31" s="24"/>
      <x:c r="J31" s="24"/>
      <x:c r="K31" s="24"/>
      <x:c r="L31" s="24"/>
      <x:c r="M31" s="24"/>
      <x:c r="N31" s="30"/>
      <x:c r="O31" s="24"/>
      <x:c r="P31" s="24"/>
      <x:c r="Q31" s="24"/>
      <x:c r="R31" s="25"/>
    </x:row>
    <x:row r="32" ht="22" customHeight="1">
      <x:c r="A32" s="23"/>
      <x:c r="B32" s="24"/>
      <x:c r="C32" s="24"/>
      <x:c r="D32" s="24"/>
      <x:c r="E32" s="24"/>
      <x:c r="F32" s="24"/>
      <x:c r="G32" s="24"/>
      <x:c r="H32" s="24"/>
      <x:c r="I32" s="24"/>
      <x:c r="J32" s="24"/>
      <x:c r="K32" s="24"/>
      <x:c r="L32" s="24"/>
      <x:c r="M32" s="24"/>
      <x:c r="N32" s="30"/>
      <x:c r="O32" s="24"/>
      <x:c r="P32" s="24"/>
      <x:c r="Q32" s="24"/>
      <x:c r="R32" s="25"/>
    </x:row>
    <x:row r="33" ht="22" customHeight="1">
      <x:c r="A33" s="23"/>
      <x:c r="B33" s="24"/>
      <x:c r="C33" s="24"/>
      <x:c r="D33" s="24"/>
      <x:c r="E33" s="24"/>
      <x:c r="F33" s="24"/>
      <x:c r="G33" s="24"/>
      <x:c r="H33" s="24"/>
      <x:c r="I33" s="24"/>
      <x:c r="J33" s="24"/>
      <x:c r="K33" s="24"/>
      <x:c r="L33" s="24"/>
      <x:c r="M33" s="24"/>
      <x:c r="N33" s="30"/>
      <x:c r="O33" s="24"/>
      <x:c r="P33" s="24"/>
      <x:c r="Q33" s="24"/>
      <x:c r="R33" s="25"/>
    </x:row>
    <x:row r="34" ht="22" customHeight="1">
      <x:c r="A34" s="23"/>
      <x:c r="B34" s="24"/>
      <x:c r="C34" s="24"/>
      <x:c r="D34" s="24"/>
      <x:c r="E34" s="24"/>
      <x:c r="F34" s="24"/>
      <x:c r="G34" s="24"/>
      <x:c r="H34" s="24"/>
      <x:c r="I34" s="24"/>
      <x:c r="J34" s="24"/>
      <x:c r="K34" s="24"/>
      <x:c r="L34" s="24"/>
      <x:c r="M34" s="24"/>
      <x:c r="N34" s="30"/>
      <x:c r="O34" s="24"/>
      <x:c r="P34" s="24"/>
      <x:c r="Q34" s="24"/>
      <x:c r="R34" s="25"/>
    </x:row>
    <x:row r="35" ht="22" customHeight="1">
      <x:c r="A35" s="23"/>
      <x:c r="B35" s="24"/>
      <x:c r="C35" s="24"/>
      <x:c r="D35" s="24"/>
      <x:c r="E35" s="24"/>
      <x:c r="F35" s="24"/>
      <x:c r="G35" s="24"/>
      <x:c r="H35" s="24"/>
      <x:c r="I35" s="24"/>
      <x:c r="J35" s="24"/>
      <x:c r="K35" s="24"/>
      <x:c r="L35" s="24"/>
      <x:c r="M35" s="24"/>
      <x:c r="N35" s="30"/>
      <x:c r="O35" s="24"/>
      <x:c r="P35" s="24"/>
      <x:c r="Q35" s="24"/>
      <x:c r="R35" s="25"/>
    </x:row>
    <x:row r="36" ht="22" customHeight="1">
      <x:c r="A36" s="23"/>
      <x:c r="B36" s="24"/>
      <x:c r="C36" s="24"/>
      <x:c r="D36" s="24"/>
      <x:c r="E36" s="24"/>
      <x:c r="F36" s="24"/>
      <x:c r="G36" s="24"/>
      <x:c r="H36" s="24"/>
      <x:c r="I36" s="24"/>
      <x:c r="J36" s="24"/>
      <x:c r="K36" s="24"/>
      <x:c r="L36" s="24"/>
      <x:c r="M36" s="24"/>
      <x:c r="N36" s="30"/>
      <x:c r="O36" s="24"/>
      <x:c r="P36" s="24"/>
      <x:c r="Q36" s="24"/>
      <x:c r="R36" s="25"/>
    </x:row>
    <x:row r="37" ht="22" customHeight="1">
      <x:c r="A37" s="23"/>
      <x:c r="B37" s="24"/>
      <x:c r="C37" s="24"/>
      <x:c r="D37" s="24"/>
      <x:c r="E37" s="24"/>
      <x:c r="F37" s="24"/>
      <x:c r="G37" s="24"/>
      <x:c r="H37" s="24"/>
      <x:c r="I37" s="24"/>
      <x:c r="J37" s="24"/>
      <x:c r="K37" s="24"/>
      <x:c r="L37" s="24"/>
      <x:c r="M37" s="24"/>
      <x:c r="N37" s="30"/>
      <x:c r="O37" s="24"/>
      <x:c r="P37" s="24"/>
      <x:c r="Q37" s="24"/>
      <x:c r="R37" s="25"/>
    </x:row>
    <x:row r="38" ht="22" customHeight="1">
      <x:c r="A38" s="23"/>
      <x:c r="B38" s="24"/>
      <x:c r="C38" s="24"/>
      <x:c r="D38" s="24"/>
      <x:c r="E38" s="24"/>
      <x:c r="F38" s="24"/>
      <x:c r="G38" s="24"/>
      <x:c r="H38" s="24"/>
      <x:c r="I38" s="24"/>
      <x:c r="J38" s="24"/>
      <x:c r="K38" s="24"/>
      <x:c r="L38" s="24"/>
      <x:c r="M38" s="24"/>
      <x:c r="N38" s="30"/>
      <x:c r="O38" s="24"/>
      <x:c r="P38" s="24"/>
      <x:c r="Q38" s="24"/>
      <x:c r="R38" s="25"/>
    </x:row>
    <x:row r="39" ht="22" customHeight="1">
      <x:c r="A39" s="23"/>
      <x:c r="B39" s="24"/>
      <x:c r="C39" s="24"/>
      <x:c r="D39" s="24"/>
      <x:c r="E39" s="24"/>
      <x:c r="F39" s="24"/>
      <x:c r="G39" s="24"/>
      <x:c r="H39" s="24"/>
      <x:c r="I39" s="24"/>
      <x:c r="J39" s="24"/>
      <x:c r="K39" s="24"/>
      <x:c r="L39" s="24"/>
      <x:c r="M39" s="24"/>
      <x:c r="N39" s="30"/>
      <x:c r="O39" s="24"/>
      <x:c r="P39" s="24"/>
      <x:c r="Q39" s="24"/>
      <x:c r="R39" s="25"/>
    </x:row>
    <x:row r="40" ht="22" customHeight="1">
      <x:c r="A40" s="23"/>
      <x:c r="B40" s="24"/>
      <x:c r="C40" s="24"/>
      <x:c r="D40" s="24"/>
      <x:c r="E40" s="24"/>
      <x:c r="F40" s="24"/>
      <x:c r="G40" s="24"/>
      <x:c r="H40" s="24"/>
      <x:c r="I40" s="24"/>
      <x:c r="J40" s="24"/>
      <x:c r="K40" s="24"/>
      <x:c r="L40" s="24"/>
      <x:c r="M40" s="24"/>
      <x:c r="N40" s="30"/>
      <x:c r="O40" s="24"/>
      <x:c r="P40" s="24"/>
      <x:c r="Q40" s="24"/>
      <x:c r="R40" s="25"/>
    </x:row>
    <x:row r="41" ht="22" customHeight="1">
      <x:c r="A41" s="23"/>
      <x:c r="B41" s="24"/>
      <x:c r="C41" s="24"/>
      <x:c r="D41" s="24"/>
      <x:c r="E41" s="24"/>
      <x:c r="F41" s="24"/>
      <x:c r="G41" s="24"/>
      <x:c r="H41" s="24"/>
      <x:c r="I41" s="24"/>
      <x:c r="J41" s="24"/>
      <x:c r="K41" s="24"/>
      <x:c r="L41" s="24"/>
      <x:c r="M41" s="24"/>
      <x:c r="N41" s="30"/>
      <x:c r="O41" s="24"/>
      <x:c r="P41" s="24"/>
      <x:c r="Q41" s="24"/>
      <x:c r="R41" s="25"/>
    </x:row>
    <x:row r="42" ht="22" customHeight="1">
      <x:c r="A42" s="23"/>
      <x:c r="B42" s="24"/>
      <x:c r="C42" s="24"/>
      <x:c r="D42" s="24"/>
      <x:c r="E42" s="24"/>
      <x:c r="F42" s="24"/>
      <x:c r="G42" s="24"/>
      <x:c r="H42" s="24"/>
      <x:c r="I42" s="24"/>
      <x:c r="J42" s="24"/>
      <x:c r="K42" s="24"/>
      <x:c r="L42" s="24"/>
      <x:c r="M42" s="24"/>
      <x:c r="N42" s="30"/>
      <x:c r="O42" s="24"/>
      <x:c r="P42" s="24"/>
      <x:c r="Q42" s="24"/>
      <x:c r="R42" s="25"/>
    </x:row>
    <x:row r="43" ht="22" customHeight="1">
      <x:c r="A43" s="23"/>
      <x:c r="B43" s="24"/>
      <x:c r="C43" s="24"/>
      <x:c r="D43" s="24"/>
      <x:c r="E43" s="24"/>
      <x:c r="F43" s="24"/>
      <x:c r="G43" s="24"/>
      <x:c r="H43" s="24"/>
      <x:c r="I43" s="24"/>
      <x:c r="J43" s="24"/>
      <x:c r="K43" s="24"/>
      <x:c r="L43" s="24"/>
      <x:c r="M43" s="24"/>
      <x:c r="N43" s="30"/>
      <x:c r="O43" s="24"/>
      <x:c r="P43" s="24"/>
      <x:c r="Q43" s="24"/>
      <x:c r="R43" s="25"/>
    </x:row>
    <x:row r="44" ht="22" customHeight="1">
      <x:c r="A44" s="23"/>
      <x:c r="B44" s="24"/>
      <x:c r="C44" s="24"/>
      <x:c r="D44" s="24"/>
      <x:c r="E44" s="24"/>
      <x:c r="F44" s="24"/>
      <x:c r="G44" s="24"/>
      <x:c r="H44" s="24"/>
      <x:c r="I44" s="24"/>
      <x:c r="J44" s="24"/>
      <x:c r="K44" s="24"/>
      <x:c r="L44" s="24"/>
      <x:c r="M44" s="24"/>
      <x:c r="N44" s="30"/>
      <x:c r="O44" s="24"/>
      <x:c r="P44" s="24"/>
      <x:c r="Q44" s="24"/>
      <x:c r="R44" s="25"/>
    </x:row>
    <x:row r="45" ht="22" customHeight="1">
      <x:c r="A45" s="23"/>
      <x:c r="B45" s="24"/>
      <x:c r="C45" s="24"/>
      <x:c r="D45" s="24"/>
      <x:c r="E45" s="24"/>
      <x:c r="F45" s="24"/>
      <x:c r="G45" s="24"/>
      <x:c r="H45" s="24"/>
      <x:c r="I45" s="24"/>
      <x:c r="J45" s="24"/>
      <x:c r="K45" s="24"/>
      <x:c r="L45" s="24"/>
      <x:c r="M45" s="24"/>
      <x:c r="N45" s="30"/>
      <x:c r="O45" s="24"/>
      <x:c r="P45" s="24"/>
      <x:c r="Q45" s="24"/>
      <x:c r="R45" s="25"/>
    </x:row>
    <x:row r="46" ht="22" customHeight="1">
      <x:c r="A46" s="23"/>
      <x:c r="B46" s="24"/>
      <x:c r="C46" s="24"/>
      <x:c r="D46" s="24"/>
      <x:c r="E46" s="24"/>
      <x:c r="F46" s="24"/>
      <x:c r="G46" s="24"/>
      <x:c r="H46" s="24"/>
      <x:c r="I46" s="24"/>
      <x:c r="J46" s="24"/>
      <x:c r="K46" s="24"/>
      <x:c r="L46" s="24"/>
      <x:c r="M46" s="24"/>
      <x:c r="N46" s="30"/>
      <x:c r="O46" s="24"/>
      <x:c r="P46" s="24"/>
      <x:c r="Q46" s="24"/>
      <x:c r="R46" s="25"/>
    </x:row>
    <x:row r="47" ht="22" customHeight="1">
      <x:c r="A47" s="23"/>
      <x:c r="B47" s="24"/>
      <x:c r="C47" s="24"/>
      <x:c r="D47" s="24"/>
      <x:c r="E47" s="24"/>
      <x:c r="F47" s="24"/>
      <x:c r="G47" s="24"/>
      <x:c r="H47" s="24"/>
      <x:c r="I47" s="24"/>
      <x:c r="J47" s="24"/>
      <x:c r="K47" s="24"/>
      <x:c r="L47" s="24"/>
      <x:c r="M47" s="24"/>
      <x:c r="N47" s="30"/>
      <x:c r="O47" s="24"/>
      <x:c r="P47" s="24"/>
      <x:c r="Q47" s="24"/>
      <x:c r="R47" s="25"/>
    </x:row>
    <x:row r="48" ht="22" customHeight="1">
      <x:c r="A48" s="23"/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  <x:c r="L48" s="24"/>
      <x:c r="M48" s="24"/>
      <x:c r="N48" s="30"/>
      <x:c r="O48" s="24"/>
      <x:c r="P48" s="24"/>
      <x:c r="Q48" s="24"/>
      <x:c r="R48" s="25"/>
    </x:row>
    <x:row r="49" ht="22" customHeight="1">
      <x:c r="A49" s="23"/>
      <x:c r="B49" s="24"/>
      <x:c r="C49" s="24"/>
      <x:c r="D49" s="24"/>
      <x:c r="E49" s="24"/>
      <x:c r="F49" s="24"/>
      <x:c r="G49" s="24"/>
      <x:c r="H49" s="24"/>
      <x:c r="I49" s="24"/>
      <x:c r="J49" s="24"/>
      <x:c r="K49" s="24"/>
      <x:c r="L49" s="24"/>
      <x:c r="M49" s="24"/>
      <x:c r="N49" s="30"/>
      <x:c r="O49" s="24"/>
      <x:c r="P49" s="24"/>
      <x:c r="Q49" s="24"/>
      <x:c r="R49" s="25"/>
    </x:row>
    <x:row r="50" ht="22" customHeight="1">
      <x:c r="A50" s="23"/>
      <x:c r="B50" s="24"/>
      <x:c r="C50" s="24"/>
      <x:c r="D50" s="24"/>
      <x:c r="E50" s="24"/>
      <x:c r="F50" s="24"/>
      <x:c r="G50" s="24"/>
      <x:c r="H50" s="24"/>
      <x:c r="I50" s="24"/>
      <x:c r="J50" s="24"/>
      <x:c r="K50" s="24"/>
      <x:c r="L50" s="24"/>
      <x:c r="M50" s="24"/>
      <x:c r="N50" s="30"/>
      <x:c r="O50" s="24"/>
      <x:c r="P50" s="24"/>
      <x:c r="Q50" s="24"/>
      <x:c r="R50" s="25"/>
    </x:row>
    <x:row r="51" ht="22" customHeight="1">
      <x:c r="A51" s="26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31"/>
      <x:c r="O51" s="27"/>
      <x:c r="P51" s="27"/>
      <x:c r="Q51" s="27"/>
      <x:c r="R51" s="28"/>
    </x:row>
  </x:sheetData>
  <x:dataValidations count="1">
    <x:dataValidation type="list" sqref="P2:P51">
      <x:formula1>"Ready for CRM,Needs review,Imported"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30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38" hidden="0" customWidth="1"/>
    <x:col min="9" max="9" width="18" hidden="0" customWidth="1"/>
    <x:col min="10" max="10" width="18" hidden="0" customWidth="1"/>
    <x:col min="11" max="11" width="18" hidden="0" customWidth="1"/>
    <x:col min="12" max="12" width="28" hidden="0" customWidth="1"/>
    <x:col min="13" max="13" width="58" hidden="0" customWidth="1"/>
    <x:col min="14" max="14" width="16" hidden="0" customWidth="1"/>
    <x:col min="15" max="15" width="16" hidden="0" customWidth="1"/>
  </x:cols>
  <x:sheetData>
    <x:row r="1" ht="22" customHeight="1">
      <x:c r="A1" s="32" t="str">
        <x:v>Source ID</x:v>
      </x:c>
      <x:c r="B1" s="32" t="str">
        <x:v>Company</x:v>
      </x:c>
      <x:c r="C1" s="32" t="str">
        <x:v>Domain</x:v>
      </x:c>
      <x:c r="D1" s="32" t="str">
        <x:v>First name</x:v>
      </x:c>
      <x:c r="E1" s="32" t="str">
        <x:v>Last name</x:v>
      </x:c>
      <x:c r="F1" s="32" t="str">
        <x:v>Email</x:v>
      </x:c>
      <x:c r="G1" s="32" t="str">
        <x:v>Job title</x:v>
      </x:c>
      <x:c r="H1" s="32" t="str">
        <x:v>LinkedIn</x:v>
      </x:c>
      <x:c r="I1" s="32" t="str">
        <x:v>Lead source</x:v>
      </x:c>
      <x:c r="J1" s="32" t="str">
        <x:v>Segment</x:v>
      </x:c>
      <x:c r="K1" s="32" t="str">
        <x:v>Employees</x:v>
      </x:c>
      <x:c r="L1" s="32" t="str">
        <x:v>Deal name</x:v>
      </x:c>
      <x:c r="M1" s="32" t="str">
        <x:v>Research notes</x:v>
      </x:c>
      <x:c r="N1" s="32" t="str">
        <x:v>Import state</x:v>
      </x:c>
      <x:c r="O1" s="32" t="str">
        <x:v>Row check</x:v>
      </x:c>
    </x:row>
    <x:row r="2" ht="22" customHeight="1">
      <x:c r="A2" s="20" t="str">
        <x:f>IF('Paste Notion Export'!A2="","",'Paste Notion Export'!A2)</x:f>
      </x:c>
      <x:c r="B2" s="21" t="str">
        <x:f>IF('Paste Notion Export'!B2="","",'Paste Notion Export'!B2)</x:f>
      </x:c>
      <x:c r="C2" s="21" t="str">
        <x:f>IF(B2="","",LOWER(SUBSTITUTE(SUBSTITUTE('Paste Notion Export'!C2,"https://",""),"www.","")))</x:f>
      </x:c>
      <x:c r="D2" s="21" t="str">
        <x:f>IF('Paste Notion Export'!D2="","",IFERROR(LEFT('Paste Notion Export'!D2,FIND(" ",'Paste Notion Export'!D2)-1),'Paste Notion Export'!D2))</x:f>
      </x:c>
      <x:c r="E2" s="21" t="str">
        <x:f>IF('Paste Notion Export'!D2="","",IFERROR(RIGHT('Paste Notion Export'!D2,LEN('Paste Notion Export'!D2)-FIND(" ",'Paste Notion Export'!D2)),""))</x:f>
      </x:c>
      <x:c r="F2" s="21" t="str">
        <x:f>IF('Paste Notion Export'!E2="","",'Paste Notion Export'!E2)</x:f>
      </x:c>
      <x:c r="G2" s="21" t="str">
        <x:f>IF('Paste Notion Export'!F2="","",'Paste Notion Export'!F2)</x:f>
      </x:c>
      <x:c r="H2" s="21" t="str">
        <x:f>IF('Paste Notion Export'!G2="","",'Paste Notion Export'!G2)</x:f>
      </x:c>
      <x:c r="I2" s="21" t="str">
        <x:f>IF('Paste Notion Export'!H2="","",'Paste Notion Export'!H2)</x:f>
      </x:c>
      <x:c r="J2" s="21" t="str">
        <x:f>IF('Paste Notion Export'!I2="","",'Paste Notion Export'!I2)</x:f>
      </x:c>
      <x:c r="K2" s="21" t="str">
        <x:f>IF('Paste Notion Export'!J2="","",'Paste Notion Export'!J2)</x:f>
      </x:c>
      <x:c r="L2" s="21" t="str">
        <x:f>IF(B2="","",B2&amp;" — New business")</x:f>
      </x:c>
      <x:c r="M2" s="21" t="str">
        <x:f>IF('Paste Notion Export'!L2="","",'Paste Notion Export'!L2)</x:f>
      </x:c>
      <x:c r="N2" s="21"/>
      <x:c r="O2" s="22" t="str">
        <x:f>IF(B2="","",IF(F2="","CHECK","READY"))</x:f>
      </x:c>
    </x:row>
    <x:row r="3" ht="22" customHeight="1">
      <x:c r="A3" s="23" t="str">
        <x:f>IF('Paste Notion Export'!A3="","",'Paste Notion Export'!A3)</x:f>
      </x:c>
      <x:c r="B3" s="24" t="str">
        <x:f>IF('Paste Notion Export'!B3="","",'Paste Notion Export'!B3)</x:f>
      </x:c>
      <x:c r="C3" s="24" t="str">
        <x:f>IF(B3="","",LOWER(SUBSTITUTE(SUBSTITUTE('Paste Notion Export'!C3,"https://",""),"www.","")))</x:f>
      </x:c>
      <x:c r="D3" s="24" t="str">
        <x:f>IF('Paste Notion Export'!D3="","",IFERROR(LEFT('Paste Notion Export'!D3,FIND(" ",'Paste Notion Export'!D3)-1),'Paste Notion Export'!D3))</x:f>
      </x:c>
      <x:c r="E3" s="24" t="str">
        <x:f>IF('Paste Notion Export'!D3="","",IFERROR(RIGHT('Paste Notion Export'!D3,LEN('Paste Notion Export'!D3)-FIND(" ",'Paste Notion Export'!D3)),""))</x:f>
      </x:c>
      <x:c r="F3" s="24" t="str">
        <x:f>IF('Paste Notion Export'!E3="","",'Paste Notion Export'!E3)</x:f>
      </x:c>
      <x:c r="G3" s="24" t="str">
        <x:f>IF('Paste Notion Export'!F3="","",'Paste Notion Export'!F3)</x:f>
      </x:c>
      <x:c r="H3" s="24" t="str">
        <x:f>IF('Paste Notion Export'!G3="","",'Paste Notion Export'!G3)</x:f>
      </x:c>
      <x:c r="I3" s="24" t="str">
        <x:f>IF('Paste Notion Export'!H3="","",'Paste Notion Export'!H3)</x:f>
      </x:c>
      <x:c r="J3" s="24" t="str">
        <x:f>IF('Paste Notion Export'!I3="","",'Paste Notion Export'!I3)</x:f>
      </x:c>
      <x:c r="K3" s="24" t="str">
        <x:f>IF('Paste Notion Export'!J3="","",'Paste Notion Export'!J3)</x:f>
      </x:c>
      <x:c r="L3" s="24" t="str">
        <x:f>IF(B3="","",B3&amp;" — New business")</x:f>
      </x:c>
      <x:c r="M3" s="24" t="str">
        <x:f>IF('Paste Notion Export'!L3="","",'Paste Notion Export'!L3)</x:f>
      </x:c>
      <x:c r="N3" s="24"/>
      <x:c r="O3" s="25" t="str">
        <x:f>IF(B3="","",IF(F3="","CHECK","READY"))</x:f>
      </x:c>
    </x:row>
    <x:row r="4" ht="22" customHeight="1">
      <x:c r="A4" s="23" t="str">
        <x:f>IF('Paste Notion Export'!A4="","",'Paste Notion Export'!A4)</x:f>
      </x:c>
      <x:c r="B4" s="24" t="str">
        <x:f>IF('Paste Notion Export'!B4="","",'Paste Notion Export'!B4)</x:f>
      </x:c>
      <x:c r="C4" s="24" t="str">
        <x:f>IF(B4="","",LOWER(SUBSTITUTE(SUBSTITUTE('Paste Notion Export'!C4,"https://",""),"www.","")))</x:f>
      </x:c>
      <x:c r="D4" s="24" t="str">
        <x:f>IF('Paste Notion Export'!D4="","",IFERROR(LEFT('Paste Notion Export'!D4,FIND(" ",'Paste Notion Export'!D4)-1),'Paste Notion Export'!D4))</x:f>
      </x:c>
      <x:c r="E4" s="24" t="str">
        <x:f>IF('Paste Notion Export'!D4="","",IFERROR(RIGHT('Paste Notion Export'!D4,LEN('Paste Notion Export'!D4)-FIND(" ",'Paste Notion Export'!D4)),""))</x:f>
      </x:c>
      <x:c r="F4" s="24" t="str">
        <x:f>IF('Paste Notion Export'!E4="","",'Paste Notion Export'!E4)</x:f>
      </x:c>
      <x:c r="G4" s="24" t="str">
        <x:f>IF('Paste Notion Export'!F4="","",'Paste Notion Export'!F4)</x:f>
      </x:c>
      <x:c r="H4" s="24" t="str">
        <x:f>IF('Paste Notion Export'!G4="","",'Paste Notion Export'!G4)</x:f>
      </x:c>
      <x:c r="I4" s="24" t="str">
        <x:f>IF('Paste Notion Export'!H4="","",'Paste Notion Export'!H4)</x:f>
      </x:c>
      <x:c r="J4" s="24" t="str">
        <x:f>IF('Paste Notion Export'!I4="","",'Paste Notion Export'!I4)</x:f>
      </x:c>
      <x:c r="K4" s="24" t="str">
        <x:f>IF('Paste Notion Export'!J4="","",'Paste Notion Export'!J4)</x:f>
      </x:c>
      <x:c r="L4" s="24" t="str">
        <x:f>IF(B4="","",B4&amp;" — New business")</x:f>
      </x:c>
      <x:c r="M4" s="24" t="str">
        <x:f>IF('Paste Notion Export'!L4="","",'Paste Notion Export'!L4)</x:f>
      </x:c>
      <x:c r="N4" s="24"/>
      <x:c r="O4" s="25" t="str">
        <x:f>IF(B4="","",IF(F4="","CHECK","READY"))</x:f>
      </x:c>
    </x:row>
    <x:row r="5" ht="22" customHeight="1">
      <x:c r="A5" s="23" t="str">
        <x:f>IF('Paste Notion Export'!A5="","",'Paste Notion Export'!A5)</x:f>
      </x:c>
      <x:c r="B5" s="24" t="str">
        <x:f>IF('Paste Notion Export'!B5="","",'Paste Notion Export'!B5)</x:f>
      </x:c>
      <x:c r="C5" s="24" t="str">
        <x:f>IF(B5="","",LOWER(SUBSTITUTE(SUBSTITUTE('Paste Notion Export'!C5,"https://",""),"www.","")))</x:f>
      </x:c>
      <x:c r="D5" s="24" t="str">
        <x:f>IF('Paste Notion Export'!D5="","",IFERROR(LEFT('Paste Notion Export'!D5,FIND(" ",'Paste Notion Export'!D5)-1),'Paste Notion Export'!D5))</x:f>
      </x:c>
      <x:c r="E5" s="24" t="str">
        <x:f>IF('Paste Notion Export'!D5="","",IFERROR(RIGHT('Paste Notion Export'!D5,LEN('Paste Notion Export'!D5)-FIND(" ",'Paste Notion Export'!D5)),""))</x:f>
      </x:c>
      <x:c r="F5" s="24" t="str">
        <x:f>IF('Paste Notion Export'!E5="","",'Paste Notion Export'!E5)</x:f>
      </x:c>
      <x:c r="G5" s="24" t="str">
        <x:f>IF('Paste Notion Export'!F5="","",'Paste Notion Export'!F5)</x:f>
      </x:c>
      <x:c r="H5" s="24" t="str">
        <x:f>IF('Paste Notion Export'!G5="","",'Paste Notion Export'!G5)</x:f>
      </x:c>
      <x:c r="I5" s="24" t="str">
        <x:f>IF('Paste Notion Export'!H5="","",'Paste Notion Export'!H5)</x:f>
      </x:c>
      <x:c r="J5" s="24" t="str">
        <x:f>IF('Paste Notion Export'!I5="","",'Paste Notion Export'!I5)</x:f>
      </x:c>
      <x:c r="K5" s="24" t="str">
        <x:f>IF('Paste Notion Export'!J5="","",'Paste Notion Export'!J5)</x:f>
      </x:c>
      <x:c r="L5" s="24" t="str">
        <x:f>IF(B5="","",B5&amp;" — New business")</x:f>
      </x:c>
      <x:c r="M5" s="24" t="str">
        <x:f>IF('Paste Notion Export'!L5="","",'Paste Notion Export'!L5)</x:f>
      </x:c>
      <x:c r="N5" s="24"/>
      <x:c r="O5" s="25" t="str">
        <x:f>IF(B5="","",IF(F5="","CHECK","READY"))</x:f>
      </x:c>
    </x:row>
    <x:row r="6" ht="22" customHeight="1">
      <x:c r="A6" s="23" t="str">
        <x:f>IF('Paste Notion Export'!A6="","",'Paste Notion Export'!A6)</x:f>
      </x:c>
      <x:c r="B6" s="24" t="str">
        <x:f>IF('Paste Notion Export'!B6="","",'Paste Notion Export'!B6)</x:f>
      </x:c>
      <x:c r="C6" s="24" t="str">
        <x:f>IF(B6="","",LOWER(SUBSTITUTE(SUBSTITUTE('Paste Notion Export'!C6,"https://",""),"www.","")))</x:f>
      </x:c>
      <x:c r="D6" s="24" t="str">
        <x:f>IF('Paste Notion Export'!D6="","",IFERROR(LEFT('Paste Notion Export'!D6,FIND(" ",'Paste Notion Export'!D6)-1),'Paste Notion Export'!D6))</x:f>
      </x:c>
      <x:c r="E6" s="24" t="str">
        <x:f>IF('Paste Notion Export'!D6="","",IFERROR(RIGHT('Paste Notion Export'!D6,LEN('Paste Notion Export'!D6)-FIND(" ",'Paste Notion Export'!D6)),""))</x:f>
      </x:c>
      <x:c r="F6" s="24" t="str">
        <x:f>IF('Paste Notion Export'!E6="","",'Paste Notion Export'!E6)</x:f>
      </x:c>
      <x:c r="G6" s="24" t="str">
        <x:f>IF('Paste Notion Export'!F6="","",'Paste Notion Export'!F6)</x:f>
      </x:c>
      <x:c r="H6" s="24" t="str">
        <x:f>IF('Paste Notion Export'!G6="","",'Paste Notion Export'!G6)</x:f>
      </x:c>
      <x:c r="I6" s="24" t="str">
        <x:f>IF('Paste Notion Export'!H6="","",'Paste Notion Export'!H6)</x:f>
      </x:c>
      <x:c r="J6" s="24" t="str">
        <x:f>IF('Paste Notion Export'!I6="","",'Paste Notion Export'!I6)</x:f>
      </x:c>
      <x:c r="K6" s="24" t="str">
        <x:f>IF('Paste Notion Export'!J6="","",'Paste Notion Export'!J6)</x:f>
      </x:c>
      <x:c r="L6" s="24" t="str">
        <x:f>IF(B6="","",B6&amp;" — New business")</x:f>
      </x:c>
      <x:c r="M6" s="24" t="str">
        <x:f>IF('Paste Notion Export'!L6="","",'Paste Notion Export'!L6)</x:f>
      </x:c>
      <x:c r="N6" s="24"/>
      <x:c r="O6" s="25" t="str">
        <x:f>IF(B6="","",IF(F6="","CHECK","READY"))</x:f>
      </x:c>
    </x:row>
    <x:row r="7" ht="22" customHeight="1">
      <x:c r="A7" s="23" t="str">
        <x:f>IF('Paste Notion Export'!A7="","",'Paste Notion Export'!A7)</x:f>
      </x:c>
      <x:c r="B7" s="24" t="str">
        <x:f>IF('Paste Notion Export'!B7="","",'Paste Notion Export'!B7)</x:f>
      </x:c>
      <x:c r="C7" s="24" t="str">
        <x:f>IF(B7="","",LOWER(SUBSTITUTE(SUBSTITUTE('Paste Notion Export'!C7,"https://",""),"www.","")))</x:f>
      </x:c>
      <x:c r="D7" s="24" t="str">
        <x:f>IF('Paste Notion Export'!D7="","",IFERROR(LEFT('Paste Notion Export'!D7,FIND(" ",'Paste Notion Export'!D7)-1),'Paste Notion Export'!D7))</x:f>
      </x:c>
      <x:c r="E7" s="24" t="str">
        <x:f>IF('Paste Notion Export'!D7="","",IFERROR(RIGHT('Paste Notion Export'!D7,LEN('Paste Notion Export'!D7)-FIND(" ",'Paste Notion Export'!D7)),""))</x:f>
      </x:c>
      <x:c r="F7" s="24" t="str">
        <x:f>IF('Paste Notion Export'!E7="","",'Paste Notion Export'!E7)</x:f>
      </x:c>
      <x:c r="G7" s="24" t="str">
        <x:f>IF('Paste Notion Export'!F7="","",'Paste Notion Export'!F7)</x:f>
      </x:c>
      <x:c r="H7" s="24" t="str">
        <x:f>IF('Paste Notion Export'!G7="","",'Paste Notion Export'!G7)</x:f>
      </x:c>
      <x:c r="I7" s="24" t="str">
        <x:f>IF('Paste Notion Export'!H7="","",'Paste Notion Export'!H7)</x:f>
      </x:c>
      <x:c r="J7" s="24" t="str">
        <x:f>IF('Paste Notion Export'!I7="","",'Paste Notion Export'!I7)</x:f>
      </x:c>
      <x:c r="K7" s="24" t="str">
        <x:f>IF('Paste Notion Export'!J7="","",'Paste Notion Export'!J7)</x:f>
      </x:c>
      <x:c r="L7" s="24" t="str">
        <x:f>IF(B7="","",B7&amp;" — New business")</x:f>
      </x:c>
      <x:c r="M7" s="24" t="str">
        <x:f>IF('Paste Notion Export'!L7="","",'Paste Notion Export'!L7)</x:f>
      </x:c>
      <x:c r="N7" s="24"/>
      <x:c r="O7" s="25" t="str">
        <x:f>IF(B7="","",IF(F7="","CHECK","READY"))</x:f>
      </x:c>
    </x:row>
    <x:row r="8" ht="22" customHeight="1">
      <x:c r="A8" s="23" t="str">
        <x:f>IF('Paste Notion Export'!A8="","",'Paste Notion Export'!A8)</x:f>
      </x:c>
      <x:c r="B8" s="24" t="str">
        <x:f>IF('Paste Notion Export'!B8="","",'Paste Notion Export'!B8)</x:f>
      </x:c>
      <x:c r="C8" s="24" t="str">
        <x:f>IF(B8="","",LOWER(SUBSTITUTE(SUBSTITUTE('Paste Notion Export'!C8,"https://",""),"www.","")))</x:f>
      </x:c>
      <x:c r="D8" s="24" t="str">
        <x:f>IF('Paste Notion Export'!D8="","",IFERROR(LEFT('Paste Notion Export'!D8,FIND(" ",'Paste Notion Export'!D8)-1),'Paste Notion Export'!D8))</x:f>
      </x:c>
      <x:c r="E8" s="24" t="str">
        <x:f>IF('Paste Notion Export'!D8="","",IFERROR(RIGHT('Paste Notion Export'!D8,LEN('Paste Notion Export'!D8)-FIND(" ",'Paste Notion Export'!D8)),""))</x:f>
      </x:c>
      <x:c r="F8" s="24" t="str">
        <x:f>IF('Paste Notion Export'!E8="","",'Paste Notion Export'!E8)</x:f>
      </x:c>
      <x:c r="G8" s="24" t="str">
        <x:f>IF('Paste Notion Export'!F8="","",'Paste Notion Export'!F8)</x:f>
      </x:c>
      <x:c r="H8" s="24" t="str">
        <x:f>IF('Paste Notion Export'!G8="","",'Paste Notion Export'!G8)</x:f>
      </x:c>
      <x:c r="I8" s="24" t="str">
        <x:f>IF('Paste Notion Export'!H8="","",'Paste Notion Export'!H8)</x:f>
      </x:c>
      <x:c r="J8" s="24" t="str">
        <x:f>IF('Paste Notion Export'!I8="","",'Paste Notion Export'!I8)</x:f>
      </x:c>
      <x:c r="K8" s="24" t="str">
        <x:f>IF('Paste Notion Export'!J8="","",'Paste Notion Export'!J8)</x:f>
      </x:c>
      <x:c r="L8" s="24" t="str">
        <x:f>IF(B8="","",B8&amp;" — New business")</x:f>
      </x:c>
      <x:c r="M8" s="24" t="str">
        <x:f>IF('Paste Notion Export'!L8="","",'Paste Notion Export'!L8)</x:f>
      </x:c>
      <x:c r="N8" s="24"/>
      <x:c r="O8" s="25" t="str">
        <x:f>IF(B8="","",IF(F8="","CHECK","READY"))</x:f>
      </x:c>
    </x:row>
    <x:row r="9" ht="22" customHeight="1">
      <x:c r="A9" s="23" t="str">
        <x:f>IF('Paste Notion Export'!A9="","",'Paste Notion Export'!A9)</x:f>
      </x:c>
      <x:c r="B9" s="24" t="str">
        <x:f>IF('Paste Notion Export'!B9="","",'Paste Notion Export'!B9)</x:f>
      </x:c>
      <x:c r="C9" s="24" t="str">
        <x:f>IF(B9="","",LOWER(SUBSTITUTE(SUBSTITUTE('Paste Notion Export'!C9,"https://",""),"www.","")))</x:f>
      </x:c>
      <x:c r="D9" s="24" t="str">
        <x:f>IF('Paste Notion Export'!D9="","",IFERROR(LEFT('Paste Notion Export'!D9,FIND(" ",'Paste Notion Export'!D9)-1),'Paste Notion Export'!D9))</x:f>
      </x:c>
      <x:c r="E9" s="24" t="str">
        <x:f>IF('Paste Notion Export'!D9="","",IFERROR(RIGHT('Paste Notion Export'!D9,LEN('Paste Notion Export'!D9)-FIND(" ",'Paste Notion Export'!D9)),""))</x:f>
      </x:c>
      <x:c r="F9" s="24" t="str">
        <x:f>IF('Paste Notion Export'!E9="","",'Paste Notion Export'!E9)</x:f>
      </x:c>
      <x:c r="G9" s="24" t="str">
        <x:f>IF('Paste Notion Export'!F9="","",'Paste Notion Export'!F9)</x:f>
      </x:c>
      <x:c r="H9" s="24" t="str">
        <x:f>IF('Paste Notion Export'!G9="","",'Paste Notion Export'!G9)</x:f>
      </x:c>
      <x:c r="I9" s="24" t="str">
        <x:f>IF('Paste Notion Export'!H9="","",'Paste Notion Export'!H9)</x:f>
      </x:c>
      <x:c r="J9" s="24" t="str">
        <x:f>IF('Paste Notion Export'!I9="","",'Paste Notion Export'!I9)</x:f>
      </x:c>
      <x:c r="K9" s="24" t="str">
        <x:f>IF('Paste Notion Export'!J9="","",'Paste Notion Export'!J9)</x:f>
      </x:c>
      <x:c r="L9" s="24" t="str">
        <x:f>IF(B9="","",B9&amp;" — New business")</x:f>
      </x:c>
      <x:c r="M9" s="24" t="str">
        <x:f>IF('Paste Notion Export'!L9="","",'Paste Notion Export'!L9)</x:f>
      </x:c>
      <x:c r="N9" s="24"/>
      <x:c r="O9" s="25" t="str">
        <x:f>IF(B9="","",IF(F9="","CHECK","READY"))</x:f>
      </x:c>
    </x:row>
    <x:row r="10" ht="22" customHeight="1">
      <x:c r="A10" s="23" t="str">
        <x:f>IF('Paste Notion Export'!A10="","",'Paste Notion Export'!A10)</x:f>
      </x:c>
      <x:c r="B10" s="24" t="str">
        <x:f>IF('Paste Notion Export'!B10="","",'Paste Notion Export'!B10)</x:f>
      </x:c>
      <x:c r="C10" s="24" t="str">
        <x:f>IF(B10="","",LOWER(SUBSTITUTE(SUBSTITUTE('Paste Notion Export'!C10,"https://",""),"www.","")))</x:f>
      </x:c>
      <x:c r="D10" s="24" t="str">
        <x:f>IF('Paste Notion Export'!D10="","",IFERROR(LEFT('Paste Notion Export'!D10,FIND(" ",'Paste Notion Export'!D10)-1),'Paste Notion Export'!D10))</x:f>
      </x:c>
      <x:c r="E10" s="24" t="str">
        <x:f>IF('Paste Notion Export'!D10="","",IFERROR(RIGHT('Paste Notion Export'!D10,LEN('Paste Notion Export'!D10)-FIND(" ",'Paste Notion Export'!D10)),""))</x:f>
      </x:c>
      <x:c r="F10" s="24" t="str">
        <x:f>IF('Paste Notion Export'!E10="","",'Paste Notion Export'!E10)</x:f>
      </x:c>
      <x:c r="G10" s="24" t="str">
        <x:f>IF('Paste Notion Export'!F10="","",'Paste Notion Export'!F10)</x:f>
      </x:c>
      <x:c r="H10" s="24" t="str">
        <x:f>IF('Paste Notion Export'!G10="","",'Paste Notion Export'!G10)</x:f>
      </x:c>
      <x:c r="I10" s="24" t="str">
        <x:f>IF('Paste Notion Export'!H10="","",'Paste Notion Export'!H10)</x:f>
      </x:c>
      <x:c r="J10" s="24" t="str">
        <x:f>IF('Paste Notion Export'!I10="","",'Paste Notion Export'!I10)</x:f>
      </x:c>
      <x:c r="K10" s="24" t="str">
        <x:f>IF('Paste Notion Export'!J10="","",'Paste Notion Export'!J10)</x:f>
      </x:c>
      <x:c r="L10" s="24" t="str">
        <x:f>IF(B10="","",B10&amp;" — New business")</x:f>
      </x:c>
      <x:c r="M10" s="24" t="str">
        <x:f>IF('Paste Notion Export'!L10="","",'Paste Notion Export'!L10)</x:f>
      </x:c>
      <x:c r="N10" s="24"/>
      <x:c r="O10" s="25" t="str">
        <x:f>IF(B10="","",IF(F10="","CHECK","READY"))</x:f>
      </x:c>
    </x:row>
    <x:row r="11" ht="22" customHeight="1">
      <x:c r="A11" s="23" t="str">
        <x:f>IF('Paste Notion Export'!A11="","",'Paste Notion Export'!A11)</x:f>
      </x:c>
      <x:c r="B11" s="24" t="str">
        <x:f>IF('Paste Notion Export'!B11="","",'Paste Notion Export'!B11)</x:f>
      </x:c>
      <x:c r="C11" s="24" t="str">
        <x:f>IF(B11="","",LOWER(SUBSTITUTE(SUBSTITUTE('Paste Notion Export'!C11,"https://",""),"www.","")))</x:f>
      </x:c>
      <x:c r="D11" s="24" t="str">
        <x:f>IF('Paste Notion Export'!D11="","",IFERROR(LEFT('Paste Notion Export'!D11,FIND(" ",'Paste Notion Export'!D11)-1),'Paste Notion Export'!D11))</x:f>
      </x:c>
      <x:c r="E11" s="24" t="str">
        <x:f>IF('Paste Notion Export'!D11="","",IFERROR(RIGHT('Paste Notion Export'!D11,LEN('Paste Notion Export'!D11)-FIND(" ",'Paste Notion Export'!D11)),""))</x:f>
      </x:c>
      <x:c r="F11" s="24" t="str">
        <x:f>IF('Paste Notion Export'!E11="","",'Paste Notion Export'!E11)</x:f>
      </x:c>
      <x:c r="G11" s="24" t="str">
        <x:f>IF('Paste Notion Export'!F11="","",'Paste Notion Export'!F11)</x:f>
      </x:c>
      <x:c r="H11" s="24" t="str">
        <x:f>IF('Paste Notion Export'!G11="","",'Paste Notion Export'!G11)</x:f>
      </x:c>
      <x:c r="I11" s="24" t="str">
        <x:f>IF('Paste Notion Export'!H11="","",'Paste Notion Export'!H11)</x:f>
      </x:c>
      <x:c r="J11" s="24" t="str">
        <x:f>IF('Paste Notion Export'!I11="","",'Paste Notion Export'!I11)</x:f>
      </x:c>
      <x:c r="K11" s="24" t="str">
        <x:f>IF('Paste Notion Export'!J11="","",'Paste Notion Export'!J11)</x:f>
      </x:c>
      <x:c r="L11" s="24" t="str">
        <x:f>IF(B11="","",B11&amp;" — New business")</x:f>
      </x:c>
      <x:c r="M11" s="24" t="str">
        <x:f>IF('Paste Notion Export'!L11="","",'Paste Notion Export'!L11)</x:f>
      </x:c>
      <x:c r="N11" s="24"/>
      <x:c r="O11" s="25" t="str">
        <x:f>IF(B11="","",IF(F11="","CHECK","READY"))</x:f>
      </x:c>
    </x:row>
    <x:row r="12" ht="22" customHeight="1">
      <x:c r="A12" s="23" t="str">
        <x:f>IF('Paste Notion Export'!A12="","",'Paste Notion Export'!A12)</x:f>
      </x:c>
      <x:c r="B12" s="24" t="str">
        <x:f>IF('Paste Notion Export'!B12="","",'Paste Notion Export'!B12)</x:f>
      </x:c>
      <x:c r="C12" s="24" t="str">
        <x:f>IF(B12="","",LOWER(SUBSTITUTE(SUBSTITUTE('Paste Notion Export'!C12,"https://",""),"www.","")))</x:f>
      </x:c>
      <x:c r="D12" s="24" t="str">
        <x:f>IF('Paste Notion Export'!D12="","",IFERROR(LEFT('Paste Notion Export'!D12,FIND(" ",'Paste Notion Export'!D12)-1),'Paste Notion Export'!D12))</x:f>
      </x:c>
      <x:c r="E12" s="24" t="str">
        <x:f>IF('Paste Notion Export'!D12="","",IFERROR(RIGHT('Paste Notion Export'!D12,LEN('Paste Notion Export'!D12)-FIND(" ",'Paste Notion Export'!D12)),""))</x:f>
      </x:c>
      <x:c r="F12" s="24" t="str">
        <x:f>IF('Paste Notion Export'!E12="","",'Paste Notion Export'!E12)</x:f>
      </x:c>
      <x:c r="G12" s="24" t="str">
        <x:f>IF('Paste Notion Export'!F12="","",'Paste Notion Export'!F12)</x:f>
      </x:c>
      <x:c r="H12" s="24" t="str">
        <x:f>IF('Paste Notion Export'!G12="","",'Paste Notion Export'!G12)</x:f>
      </x:c>
      <x:c r="I12" s="24" t="str">
        <x:f>IF('Paste Notion Export'!H12="","",'Paste Notion Export'!H12)</x:f>
      </x:c>
      <x:c r="J12" s="24" t="str">
        <x:f>IF('Paste Notion Export'!I12="","",'Paste Notion Export'!I12)</x:f>
      </x:c>
      <x:c r="K12" s="24" t="str">
        <x:f>IF('Paste Notion Export'!J12="","",'Paste Notion Export'!J12)</x:f>
      </x:c>
      <x:c r="L12" s="24" t="str">
        <x:f>IF(B12="","",B12&amp;" — New business")</x:f>
      </x:c>
      <x:c r="M12" s="24" t="str">
        <x:f>IF('Paste Notion Export'!L12="","",'Paste Notion Export'!L12)</x:f>
      </x:c>
      <x:c r="N12" s="24"/>
      <x:c r="O12" s="25" t="str">
        <x:f>IF(B12="","",IF(F12="","CHECK","READY"))</x:f>
      </x:c>
    </x:row>
    <x:row r="13" ht="22" customHeight="1">
      <x:c r="A13" s="23" t="str">
        <x:f>IF('Paste Notion Export'!A13="","",'Paste Notion Export'!A13)</x:f>
      </x:c>
      <x:c r="B13" s="24" t="str">
        <x:f>IF('Paste Notion Export'!B13="","",'Paste Notion Export'!B13)</x:f>
      </x:c>
      <x:c r="C13" s="24" t="str">
        <x:f>IF(B13="","",LOWER(SUBSTITUTE(SUBSTITUTE('Paste Notion Export'!C13,"https://",""),"www.","")))</x:f>
      </x:c>
      <x:c r="D13" s="24" t="str">
        <x:f>IF('Paste Notion Export'!D13="","",IFERROR(LEFT('Paste Notion Export'!D13,FIND(" ",'Paste Notion Export'!D13)-1),'Paste Notion Export'!D13))</x:f>
      </x:c>
      <x:c r="E13" s="24" t="str">
        <x:f>IF('Paste Notion Export'!D13="","",IFERROR(RIGHT('Paste Notion Export'!D13,LEN('Paste Notion Export'!D13)-FIND(" ",'Paste Notion Export'!D13)),""))</x:f>
      </x:c>
      <x:c r="F13" s="24" t="str">
        <x:f>IF('Paste Notion Export'!E13="","",'Paste Notion Export'!E13)</x:f>
      </x:c>
      <x:c r="G13" s="24" t="str">
        <x:f>IF('Paste Notion Export'!F13="","",'Paste Notion Export'!F13)</x:f>
      </x:c>
      <x:c r="H13" s="24" t="str">
        <x:f>IF('Paste Notion Export'!G13="","",'Paste Notion Export'!G13)</x:f>
      </x:c>
      <x:c r="I13" s="24" t="str">
        <x:f>IF('Paste Notion Export'!H13="","",'Paste Notion Export'!H13)</x:f>
      </x:c>
      <x:c r="J13" s="24" t="str">
        <x:f>IF('Paste Notion Export'!I13="","",'Paste Notion Export'!I13)</x:f>
      </x:c>
      <x:c r="K13" s="24" t="str">
        <x:f>IF('Paste Notion Export'!J13="","",'Paste Notion Export'!J13)</x:f>
      </x:c>
      <x:c r="L13" s="24" t="str">
        <x:f>IF(B13="","",B13&amp;" — New business")</x:f>
      </x:c>
      <x:c r="M13" s="24" t="str">
        <x:f>IF('Paste Notion Export'!L13="","",'Paste Notion Export'!L13)</x:f>
      </x:c>
      <x:c r="N13" s="24"/>
      <x:c r="O13" s="25" t="str">
        <x:f>IF(B13="","",IF(F13="","CHECK","READY"))</x:f>
      </x:c>
    </x:row>
    <x:row r="14" ht="22" customHeight="1">
      <x:c r="A14" s="23" t="str">
        <x:f>IF('Paste Notion Export'!A14="","",'Paste Notion Export'!A14)</x:f>
      </x:c>
      <x:c r="B14" s="24" t="str">
        <x:f>IF('Paste Notion Export'!B14="","",'Paste Notion Export'!B14)</x:f>
      </x:c>
      <x:c r="C14" s="24" t="str">
        <x:f>IF(B14="","",LOWER(SUBSTITUTE(SUBSTITUTE('Paste Notion Export'!C14,"https://",""),"www.","")))</x:f>
      </x:c>
      <x:c r="D14" s="24" t="str">
        <x:f>IF('Paste Notion Export'!D14="","",IFERROR(LEFT('Paste Notion Export'!D14,FIND(" ",'Paste Notion Export'!D14)-1),'Paste Notion Export'!D14))</x:f>
      </x:c>
      <x:c r="E14" s="24" t="str">
        <x:f>IF('Paste Notion Export'!D14="","",IFERROR(RIGHT('Paste Notion Export'!D14,LEN('Paste Notion Export'!D14)-FIND(" ",'Paste Notion Export'!D14)),""))</x:f>
      </x:c>
      <x:c r="F14" s="24" t="str">
        <x:f>IF('Paste Notion Export'!E14="","",'Paste Notion Export'!E14)</x:f>
      </x:c>
      <x:c r="G14" s="24" t="str">
        <x:f>IF('Paste Notion Export'!F14="","",'Paste Notion Export'!F14)</x:f>
      </x:c>
      <x:c r="H14" s="24" t="str">
        <x:f>IF('Paste Notion Export'!G14="","",'Paste Notion Export'!G14)</x:f>
      </x:c>
      <x:c r="I14" s="24" t="str">
        <x:f>IF('Paste Notion Export'!H14="","",'Paste Notion Export'!H14)</x:f>
      </x:c>
      <x:c r="J14" s="24" t="str">
        <x:f>IF('Paste Notion Export'!I14="","",'Paste Notion Export'!I14)</x:f>
      </x:c>
      <x:c r="K14" s="24" t="str">
        <x:f>IF('Paste Notion Export'!J14="","",'Paste Notion Export'!J14)</x:f>
      </x:c>
      <x:c r="L14" s="24" t="str">
        <x:f>IF(B14="","",B14&amp;" — New business")</x:f>
      </x:c>
      <x:c r="M14" s="24" t="str">
        <x:f>IF('Paste Notion Export'!L14="","",'Paste Notion Export'!L14)</x:f>
      </x:c>
      <x:c r="N14" s="24"/>
      <x:c r="O14" s="25" t="str">
        <x:f>IF(B14="","",IF(F14="","CHECK","READY"))</x:f>
      </x:c>
    </x:row>
    <x:row r="15" ht="22" customHeight="1">
      <x:c r="A15" s="23" t="str">
        <x:f>IF('Paste Notion Export'!A15="","",'Paste Notion Export'!A15)</x:f>
      </x:c>
      <x:c r="B15" s="24" t="str">
        <x:f>IF('Paste Notion Export'!B15="","",'Paste Notion Export'!B15)</x:f>
      </x:c>
      <x:c r="C15" s="24" t="str">
        <x:f>IF(B15="","",LOWER(SUBSTITUTE(SUBSTITUTE('Paste Notion Export'!C15,"https://",""),"www.","")))</x:f>
      </x:c>
      <x:c r="D15" s="24" t="str">
        <x:f>IF('Paste Notion Export'!D15="","",IFERROR(LEFT('Paste Notion Export'!D15,FIND(" ",'Paste Notion Export'!D15)-1),'Paste Notion Export'!D15))</x:f>
      </x:c>
      <x:c r="E15" s="24" t="str">
        <x:f>IF('Paste Notion Export'!D15="","",IFERROR(RIGHT('Paste Notion Export'!D15,LEN('Paste Notion Export'!D15)-FIND(" ",'Paste Notion Export'!D15)),""))</x:f>
      </x:c>
      <x:c r="F15" s="24" t="str">
        <x:f>IF('Paste Notion Export'!E15="","",'Paste Notion Export'!E15)</x:f>
      </x:c>
      <x:c r="G15" s="24" t="str">
        <x:f>IF('Paste Notion Export'!F15="","",'Paste Notion Export'!F15)</x:f>
      </x:c>
      <x:c r="H15" s="24" t="str">
        <x:f>IF('Paste Notion Export'!G15="","",'Paste Notion Export'!G15)</x:f>
      </x:c>
      <x:c r="I15" s="24" t="str">
        <x:f>IF('Paste Notion Export'!H15="","",'Paste Notion Export'!H15)</x:f>
      </x:c>
      <x:c r="J15" s="24" t="str">
        <x:f>IF('Paste Notion Export'!I15="","",'Paste Notion Export'!I15)</x:f>
      </x:c>
      <x:c r="K15" s="24" t="str">
        <x:f>IF('Paste Notion Export'!J15="","",'Paste Notion Export'!J15)</x:f>
      </x:c>
      <x:c r="L15" s="24" t="str">
        <x:f>IF(B15="","",B15&amp;" — New business")</x:f>
      </x:c>
      <x:c r="M15" s="24" t="str">
        <x:f>IF('Paste Notion Export'!L15="","",'Paste Notion Export'!L15)</x:f>
      </x:c>
      <x:c r="N15" s="24"/>
      <x:c r="O15" s="25" t="str">
        <x:f>IF(B15="","",IF(F15="","CHECK","READY"))</x:f>
      </x:c>
    </x:row>
    <x:row r="16" ht="22" customHeight="1">
      <x:c r="A16" s="23" t="str">
        <x:f>IF('Paste Notion Export'!A16="","",'Paste Notion Export'!A16)</x:f>
      </x:c>
      <x:c r="B16" s="24" t="str">
        <x:f>IF('Paste Notion Export'!B16="","",'Paste Notion Export'!B16)</x:f>
      </x:c>
      <x:c r="C16" s="24" t="str">
        <x:f>IF(B16="","",LOWER(SUBSTITUTE(SUBSTITUTE('Paste Notion Export'!C16,"https://",""),"www.","")))</x:f>
      </x:c>
      <x:c r="D16" s="24" t="str">
        <x:f>IF('Paste Notion Export'!D16="","",IFERROR(LEFT('Paste Notion Export'!D16,FIND(" ",'Paste Notion Export'!D16)-1),'Paste Notion Export'!D16))</x:f>
      </x:c>
      <x:c r="E16" s="24" t="str">
        <x:f>IF('Paste Notion Export'!D16="","",IFERROR(RIGHT('Paste Notion Export'!D16,LEN('Paste Notion Export'!D16)-FIND(" ",'Paste Notion Export'!D16)),""))</x:f>
      </x:c>
      <x:c r="F16" s="24" t="str">
        <x:f>IF('Paste Notion Export'!E16="","",'Paste Notion Export'!E16)</x:f>
      </x:c>
      <x:c r="G16" s="24" t="str">
        <x:f>IF('Paste Notion Export'!F16="","",'Paste Notion Export'!F16)</x:f>
      </x:c>
      <x:c r="H16" s="24" t="str">
        <x:f>IF('Paste Notion Export'!G16="","",'Paste Notion Export'!G16)</x:f>
      </x:c>
      <x:c r="I16" s="24" t="str">
        <x:f>IF('Paste Notion Export'!H16="","",'Paste Notion Export'!H16)</x:f>
      </x:c>
      <x:c r="J16" s="24" t="str">
        <x:f>IF('Paste Notion Export'!I16="","",'Paste Notion Export'!I16)</x:f>
      </x:c>
      <x:c r="K16" s="24" t="str">
        <x:f>IF('Paste Notion Export'!J16="","",'Paste Notion Export'!J16)</x:f>
      </x:c>
      <x:c r="L16" s="24" t="str">
        <x:f>IF(B16="","",B16&amp;" — New business")</x:f>
      </x:c>
      <x:c r="M16" s="24" t="str">
        <x:f>IF('Paste Notion Export'!L16="","",'Paste Notion Export'!L16)</x:f>
      </x:c>
      <x:c r="N16" s="24"/>
      <x:c r="O16" s="25" t="str">
        <x:f>IF(B16="","",IF(F16="","CHECK","READY"))</x:f>
      </x:c>
    </x:row>
    <x:row r="17" ht="22" customHeight="1">
      <x:c r="A17" s="23" t="str">
        <x:f>IF('Paste Notion Export'!A17="","",'Paste Notion Export'!A17)</x:f>
      </x:c>
      <x:c r="B17" s="24" t="str">
        <x:f>IF('Paste Notion Export'!B17="","",'Paste Notion Export'!B17)</x:f>
      </x:c>
      <x:c r="C17" s="24" t="str">
        <x:f>IF(B17="","",LOWER(SUBSTITUTE(SUBSTITUTE('Paste Notion Export'!C17,"https://",""),"www.","")))</x:f>
      </x:c>
      <x:c r="D17" s="24" t="str">
        <x:f>IF('Paste Notion Export'!D17="","",IFERROR(LEFT('Paste Notion Export'!D17,FIND(" ",'Paste Notion Export'!D17)-1),'Paste Notion Export'!D17))</x:f>
      </x:c>
      <x:c r="E17" s="24" t="str">
        <x:f>IF('Paste Notion Export'!D17="","",IFERROR(RIGHT('Paste Notion Export'!D17,LEN('Paste Notion Export'!D17)-FIND(" ",'Paste Notion Export'!D17)),""))</x:f>
      </x:c>
      <x:c r="F17" s="24" t="str">
        <x:f>IF('Paste Notion Export'!E17="","",'Paste Notion Export'!E17)</x:f>
      </x:c>
      <x:c r="G17" s="24" t="str">
        <x:f>IF('Paste Notion Export'!F17="","",'Paste Notion Export'!F17)</x:f>
      </x:c>
      <x:c r="H17" s="24" t="str">
        <x:f>IF('Paste Notion Export'!G17="","",'Paste Notion Export'!G17)</x:f>
      </x:c>
      <x:c r="I17" s="24" t="str">
        <x:f>IF('Paste Notion Export'!H17="","",'Paste Notion Export'!H17)</x:f>
      </x:c>
      <x:c r="J17" s="24" t="str">
        <x:f>IF('Paste Notion Export'!I17="","",'Paste Notion Export'!I17)</x:f>
      </x:c>
      <x:c r="K17" s="24" t="str">
        <x:f>IF('Paste Notion Export'!J17="","",'Paste Notion Export'!J17)</x:f>
      </x:c>
      <x:c r="L17" s="24" t="str">
        <x:f>IF(B17="","",B17&amp;" — New business")</x:f>
      </x:c>
      <x:c r="M17" s="24" t="str">
        <x:f>IF('Paste Notion Export'!L17="","",'Paste Notion Export'!L17)</x:f>
      </x:c>
      <x:c r="N17" s="24"/>
      <x:c r="O17" s="25" t="str">
        <x:f>IF(B17="","",IF(F17="","CHECK","READY"))</x:f>
      </x:c>
    </x:row>
    <x:row r="18" ht="22" customHeight="1">
      <x:c r="A18" s="23" t="str">
        <x:f>IF('Paste Notion Export'!A18="","",'Paste Notion Export'!A18)</x:f>
      </x:c>
      <x:c r="B18" s="24" t="str">
        <x:f>IF('Paste Notion Export'!B18="","",'Paste Notion Export'!B18)</x:f>
      </x:c>
      <x:c r="C18" s="24" t="str">
        <x:f>IF(B18="","",LOWER(SUBSTITUTE(SUBSTITUTE('Paste Notion Export'!C18,"https://",""),"www.","")))</x:f>
      </x:c>
      <x:c r="D18" s="24" t="str">
        <x:f>IF('Paste Notion Export'!D18="","",IFERROR(LEFT('Paste Notion Export'!D18,FIND(" ",'Paste Notion Export'!D18)-1),'Paste Notion Export'!D18))</x:f>
      </x:c>
      <x:c r="E18" s="24" t="str">
        <x:f>IF('Paste Notion Export'!D18="","",IFERROR(RIGHT('Paste Notion Export'!D18,LEN('Paste Notion Export'!D18)-FIND(" ",'Paste Notion Export'!D18)),""))</x:f>
      </x:c>
      <x:c r="F18" s="24" t="str">
        <x:f>IF('Paste Notion Export'!E18="","",'Paste Notion Export'!E18)</x:f>
      </x:c>
      <x:c r="G18" s="24" t="str">
        <x:f>IF('Paste Notion Export'!F18="","",'Paste Notion Export'!F18)</x:f>
      </x:c>
      <x:c r="H18" s="24" t="str">
        <x:f>IF('Paste Notion Export'!G18="","",'Paste Notion Export'!G18)</x:f>
      </x:c>
      <x:c r="I18" s="24" t="str">
        <x:f>IF('Paste Notion Export'!H18="","",'Paste Notion Export'!H18)</x:f>
      </x:c>
      <x:c r="J18" s="24" t="str">
        <x:f>IF('Paste Notion Export'!I18="","",'Paste Notion Export'!I18)</x:f>
      </x:c>
      <x:c r="K18" s="24" t="str">
        <x:f>IF('Paste Notion Export'!J18="","",'Paste Notion Export'!J18)</x:f>
      </x:c>
      <x:c r="L18" s="24" t="str">
        <x:f>IF(B18="","",B18&amp;" — New business")</x:f>
      </x:c>
      <x:c r="M18" s="24" t="str">
        <x:f>IF('Paste Notion Export'!L18="","",'Paste Notion Export'!L18)</x:f>
      </x:c>
      <x:c r="N18" s="24"/>
      <x:c r="O18" s="25" t="str">
        <x:f>IF(B18="","",IF(F18="","CHECK","READY"))</x:f>
      </x:c>
    </x:row>
    <x:row r="19" ht="22" customHeight="1">
      <x:c r="A19" s="23" t="str">
        <x:f>IF('Paste Notion Export'!A19="","",'Paste Notion Export'!A19)</x:f>
      </x:c>
      <x:c r="B19" s="24" t="str">
        <x:f>IF('Paste Notion Export'!B19="","",'Paste Notion Export'!B19)</x:f>
      </x:c>
      <x:c r="C19" s="24" t="str">
        <x:f>IF(B19="","",LOWER(SUBSTITUTE(SUBSTITUTE('Paste Notion Export'!C19,"https://",""),"www.","")))</x:f>
      </x:c>
      <x:c r="D19" s="24" t="str">
        <x:f>IF('Paste Notion Export'!D19="","",IFERROR(LEFT('Paste Notion Export'!D19,FIND(" ",'Paste Notion Export'!D19)-1),'Paste Notion Export'!D19))</x:f>
      </x:c>
      <x:c r="E19" s="24" t="str">
        <x:f>IF('Paste Notion Export'!D19="","",IFERROR(RIGHT('Paste Notion Export'!D19,LEN('Paste Notion Export'!D19)-FIND(" ",'Paste Notion Export'!D19)),""))</x:f>
      </x:c>
      <x:c r="F19" s="24" t="str">
        <x:f>IF('Paste Notion Export'!E19="","",'Paste Notion Export'!E19)</x:f>
      </x:c>
      <x:c r="G19" s="24" t="str">
        <x:f>IF('Paste Notion Export'!F19="","",'Paste Notion Export'!F19)</x:f>
      </x:c>
      <x:c r="H19" s="24" t="str">
        <x:f>IF('Paste Notion Export'!G19="","",'Paste Notion Export'!G19)</x:f>
      </x:c>
      <x:c r="I19" s="24" t="str">
        <x:f>IF('Paste Notion Export'!H19="","",'Paste Notion Export'!H19)</x:f>
      </x:c>
      <x:c r="J19" s="24" t="str">
        <x:f>IF('Paste Notion Export'!I19="","",'Paste Notion Export'!I19)</x:f>
      </x:c>
      <x:c r="K19" s="24" t="str">
        <x:f>IF('Paste Notion Export'!J19="","",'Paste Notion Export'!J19)</x:f>
      </x:c>
      <x:c r="L19" s="24" t="str">
        <x:f>IF(B19="","",B19&amp;" — New business")</x:f>
      </x:c>
      <x:c r="M19" s="24" t="str">
        <x:f>IF('Paste Notion Export'!L19="","",'Paste Notion Export'!L19)</x:f>
      </x:c>
      <x:c r="N19" s="24"/>
      <x:c r="O19" s="25" t="str">
        <x:f>IF(B19="","",IF(F19="","CHECK","READY"))</x:f>
      </x:c>
    </x:row>
    <x:row r="20" ht="22" customHeight="1">
      <x:c r="A20" s="23" t="str">
        <x:f>IF('Paste Notion Export'!A20="","",'Paste Notion Export'!A20)</x:f>
      </x:c>
      <x:c r="B20" s="24" t="str">
        <x:f>IF('Paste Notion Export'!B20="","",'Paste Notion Export'!B20)</x:f>
      </x:c>
      <x:c r="C20" s="24" t="str">
        <x:f>IF(B20="","",LOWER(SUBSTITUTE(SUBSTITUTE('Paste Notion Export'!C20,"https://",""),"www.","")))</x:f>
      </x:c>
      <x:c r="D20" s="24" t="str">
        <x:f>IF('Paste Notion Export'!D20="","",IFERROR(LEFT('Paste Notion Export'!D20,FIND(" ",'Paste Notion Export'!D20)-1),'Paste Notion Export'!D20))</x:f>
      </x:c>
      <x:c r="E20" s="24" t="str">
        <x:f>IF('Paste Notion Export'!D20="","",IFERROR(RIGHT('Paste Notion Export'!D20,LEN('Paste Notion Export'!D20)-FIND(" ",'Paste Notion Export'!D20)),""))</x:f>
      </x:c>
      <x:c r="F20" s="24" t="str">
        <x:f>IF('Paste Notion Export'!E20="","",'Paste Notion Export'!E20)</x:f>
      </x:c>
      <x:c r="G20" s="24" t="str">
        <x:f>IF('Paste Notion Export'!F20="","",'Paste Notion Export'!F20)</x:f>
      </x:c>
      <x:c r="H20" s="24" t="str">
        <x:f>IF('Paste Notion Export'!G20="","",'Paste Notion Export'!G20)</x:f>
      </x:c>
      <x:c r="I20" s="24" t="str">
        <x:f>IF('Paste Notion Export'!H20="","",'Paste Notion Export'!H20)</x:f>
      </x:c>
      <x:c r="J20" s="24" t="str">
        <x:f>IF('Paste Notion Export'!I20="","",'Paste Notion Export'!I20)</x:f>
      </x:c>
      <x:c r="K20" s="24" t="str">
        <x:f>IF('Paste Notion Export'!J20="","",'Paste Notion Export'!J20)</x:f>
      </x:c>
      <x:c r="L20" s="24" t="str">
        <x:f>IF(B20="","",B20&amp;" — New business")</x:f>
      </x:c>
      <x:c r="M20" s="24" t="str">
        <x:f>IF('Paste Notion Export'!L20="","",'Paste Notion Export'!L20)</x:f>
      </x:c>
      <x:c r="N20" s="24"/>
      <x:c r="O20" s="25" t="str">
        <x:f>IF(B20="","",IF(F20="","CHECK","READY"))</x:f>
      </x:c>
    </x:row>
    <x:row r="21" ht="22" customHeight="1">
      <x:c r="A21" s="23" t="str">
        <x:f>IF('Paste Notion Export'!A21="","",'Paste Notion Export'!A21)</x:f>
      </x:c>
      <x:c r="B21" s="24" t="str">
        <x:f>IF('Paste Notion Export'!B21="","",'Paste Notion Export'!B21)</x:f>
      </x:c>
      <x:c r="C21" s="24" t="str">
        <x:f>IF(B21="","",LOWER(SUBSTITUTE(SUBSTITUTE('Paste Notion Export'!C21,"https://",""),"www.","")))</x:f>
      </x:c>
      <x:c r="D21" s="24" t="str">
        <x:f>IF('Paste Notion Export'!D21="","",IFERROR(LEFT('Paste Notion Export'!D21,FIND(" ",'Paste Notion Export'!D21)-1),'Paste Notion Export'!D21))</x:f>
      </x:c>
      <x:c r="E21" s="24" t="str">
        <x:f>IF('Paste Notion Export'!D21="","",IFERROR(RIGHT('Paste Notion Export'!D21,LEN('Paste Notion Export'!D21)-FIND(" ",'Paste Notion Export'!D21)),""))</x:f>
      </x:c>
      <x:c r="F21" s="24" t="str">
        <x:f>IF('Paste Notion Export'!E21="","",'Paste Notion Export'!E21)</x:f>
      </x:c>
      <x:c r="G21" s="24" t="str">
        <x:f>IF('Paste Notion Export'!F21="","",'Paste Notion Export'!F21)</x:f>
      </x:c>
      <x:c r="H21" s="24" t="str">
        <x:f>IF('Paste Notion Export'!G21="","",'Paste Notion Export'!G21)</x:f>
      </x:c>
      <x:c r="I21" s="24" t="str">
        <x:f>IF('Paste Notion Export'!H21="","",'Paste Notion Export'!H21)</x:f>
      </x:c>
      <x:c r="J21" s="24" t="str">
        <x:f>IF('Paste Notion Export'!I21="","",'Paste Notion Export'!I21)</x:f>
      </x:c>
      <x:c r="K21" s="24" t="str">
        <x:f>IF('Paste Notion Export'!J21="","",'Paste Notion Export'!J21)</x:f>
      </x:c>
      <x:c r="L21" s="24" t="str">
        <x:f>IF(B21="","",B21&amp;" — New business")</x:f>
      </x:c>
      <x:c r="M21" s="24" t="str">
        <x:f>IF('Paste Notion Export'!L21="","",'Paste Notion Export'!L21)</x:f>
      </x:c>
      <x:c r="N21" s="24"/>
      <x:c r="O21" s="25" t="str">
        <x:f>IF(B21="","",IF(F21="","CHECK","READY"))</x:f>
      </x:c>
    </x:row>
    <x:row r="22" ht="22" customHeight="1">
      <x:c r="A22" s="23" t="str">
        <x:f>IF('Paste Notion Export'!A22="","",'Paste Notion Export'!A22)</x:f>
      </x:c>
      <x:c r="B22" s="24" t="str">
        <x:f>IF('Paste Notion Export'!B22="","",'Paste Notion Export'!B22)</x:f>
      </x:c>
      <x:c r="C22" s="24" t="str">
        <x:f>IF(B22="","",LOWER(SUBSTITUTE(SUBSTITUTE('Paste Notion Export'!C22,"https://",""),"www.","")))</x:f>
      </x:c>
      <x:c r="D22" s="24" t="str">
        <x:f>IF('Paste Notion Export'!D22="","",IFERROR(LEFT('Paste Notion Export'!D22,FIND(" ",'Paste Notion Export'!D22)-1),'Paste Notion Export'!D22))</x:f>
      </x:c>
      <x:c r="E22" s="24" t="str">
        <x:f>IF('Paste Notion Export'!D22="","",IFERROR(RIGHT('Paste Notion Export'!D22,LEN('Paste Notion Export'!D22)-FIND(" ",'Paste Notion Export'!D22)),""))</x:f>
      </x:c>
      <x:c r="F22" s="24" t="str">
        <x:f>IF('Paste Notion Export'!E22="","",'Paste Notion Export'!E22)</x:f>
      </x:c>
      <x:c r="G22" s="24" t="str">
        <x:f>IF('Paste Notion Export'!F22="","",'Paste Notion Export'!F22)</x:f>
      </x:c>
      <x:c r="H22" s="24" t="str">
        <x:f>IF('Paste Notion Export'!G22="","",'Paste Notion Export'!G22)</x:f>
      </x:c>
      <x:c r="I22" s="24" t="str">
        <x:f>IF('Paste Notion Export'!H22="","",'Paste Notion Export'!H22)</x:f>
      </x:c>
      <x:c r="J22" s="24" t="str">
        <x:f>IF('Paste Notion Export'!I22="","",'Paste Notion Export'!I22)</x:f>
      </x:c>
      <x:c r="K22" s="24" t="str">
        <x:f>IF('Paste Notion Export'!J22="","",'Paste Notion Export'!J22)</x:f>
      </x:c>
      <x:c r="L22" s="24" t="str">
        <x:f>IF(B22="","",B22&amp;" — New business")</x:f>
      </x:c>
      <x:c r="M22" s="24" t="str">
        <x:f>IF('Paste Notion Export'!L22="","",'Paste Notion Export'!L22)</x:f>
      </x:c>
      <x:c r="N22" s="24"/>
      <x:c r="O22" s="25" t="str">
        <x:f>IF(B22="","",IF(F22="","CHECK","READY"))</x:f>
      </x:c>
    </x:row>
    <x:row r="23" ht="22" customHeight="1">
      <x:c r="A23" s="23" t="str">
        <x:f>IF('Paste Notion Export'!A23="","",'Paste Notion Export'!A23)</x:f>
      </x:c>
      <x:c r="B23" s="24" t="str">
        <x:f>IF('Paste Notion Export'!B23="","",'Paste Notion Export'!B23)</x:f>
      </x:c>
      <x:c r="C23" s="24" t="str">
        <x:f>IF(B23="","",LOWER(SUBSTITUTE(SUBSTITUTE('Paste Notion Export'!C23,"https://",""),"www.","")))</x:f>
      </x:c>
      <x:c r="D23" s="24" t="str">
        <x:f>IF('Paste Notion Export'!D23="","",IFERROR(LEFT('Paste Notion Export'!D23,FIND(" ",'Paste Notion Export'!D23)-1),'Paste Notion Export'!D23))</x:f>
      </x:c>
      <x:c r="E23" s="24" t="str">
        <x:f>IF('Paste Notion Export'!D23="","",IFERROR(RIGHT('Paste Notion Export'!D23,LEN('Paste Notion Export'!D23)-FIND(" ",'Paste Notion Export'!D23)),""))</x:f>
      </x:c>
      <x:c r="F23" s="24" t="str">
        <x:f>IF('Paste Notion Export'!E23="","",'Paste Notion Export'!E23)</x:f>
      </x:c>
      <x:c r="G23" s="24" t="str">
        <x:f>IF('Paste Notion Export'!F23="","",'Paste Notion Export'!F23)</x:f>
      </x:c>
      <x:c r="H23" s="24" t="str">
        <x:f>IF('Paste Notion Export'!G23="","",'Paste Notion Export'!G23)</x:f>
      </x:c>
      <x:c r="I23" s="24" t="str">
        <x:f>IF('Paste Notion Export'!H23="","",'Paste Notion Export'!H23)</x:f>
      </x:c>
      <x:c r="J23" s="24" t="str">
        <x:f>IF('Paste Notion Export'!I23="","",'Paste Notion Export'!I23)</x:f>
      </x:c>
      <x:c r="K23" s="24" t="str">
        <x:f>IF('Paste Notion Export'!J23="","",'Paste Notion Export'!J23)</x:f>
      </x:c>
      <x:c r="L23" s="24" t="str">
        <x:f>IF(B23="","",B23&amp;" — New business")</x:f>
      </x:c>
      <x:c r="M23" s="24" t="str">
        <x:f>IF('Paste Notion Export'!L23="","",'Paste Notion Export'!L23)</x:f>
      </x:c>
      <x:c r="N23" s="24"/>
      <x:c r="O23" s="25" t="str">
        <x:f>IF(B23="","",IF(F23="","CHECK","READY"))</x:f>
      </x:c>
    </x:row>
    <x:row r="24" ht="22" customHeight="1">
      <x:c r="A24" s="23" t="str">
        <x:f>IF('Paste Notion Export'!A24="","",'Paste Notion Export'!A24)</x:f>
      </x:c>
      <x:c r="B24" s="24" t="str">
        <x:f>IF('Paste Notion Export'!B24="","",'Paste Notion Export'!B24)</x:f>
      </x:c>
      <x:c r="C24" s="24" t="str">
        <x:f>IF(B24="","",LOWER(SUBSTITUTE(SUBSTITUTE('Paste Notion Export'!C24,"https://",""),"www.","")))</x:f>
      </x:c>
      <x:c r="D24" s="24" t="str">
        <x:f>IF('Paste Notion Export'!D24="","",IFERROR(LEFT('Paste Notion Export'!D24,FIND(" ",'Paste Notion Export'!D24)-1),'Paste Notion Export'!D24))</x:f>
      </x:c>
      <x:c r="E24" s="24" t="str">
        <x:f>IF('Paste Notion Export'!D24="","",IFERROR(RIGHT('Paste Notion Export'!D24,LEN('Paste Notion Export'!D24)-FIND(" ",'Paste Notion Export'!D24)),""))</x:f>
      </x:c>
      <x:c r="F24" s="24" t="str">
        <x:f>IF('Paste Notion Export'!E24="","",'Paste Notion Export'!E24)</x:f>
      </x:c>
      <x:c r="G24" s="24" t="str">
        <x:f>IF('Paste Notion Export'!F24="","",'Paste Notion Export'!F24)</x:f>
      </x:c>
      <x:c r="H24" s="24" t="str">
        <x:f>IF('Paste Notion Export'!G24="","",'Paste Notion Export'!G24)</x:f>
      </x:c>
      <x:c r="I24" s="24" t="str">
        <x:f>IF('Paste Notion Export'!H24="","",'Paste Notion Export'!H24)</x:f>
      </x:c>
      <x:c r="J24" s="24" t="str">
        <x:f>IF('Paste Notion Export'!I24="","",'Paste Notion Export'!I24)</x:f>
      </x:c>
      <x:c r="K24" s="24" t="str">
        <x:f>IF('Paste Notion Export'!J24="","",'Paste Notion Export'!J24)</x:f>
      </x:c>
      <x:c r="L24" s="24" t="str">
        <x:f>IF(B24="","",B24&amp;" — New business")</x:f>
      </x:c>
      <x:c r="M24" s="24" t="str">
        <x:f>IF('Paste Notion Export'!L24="","",'Paste Notion Export'!L24)</x:f>
      </x:c>
      <x:c r="N24" s="24"/>
      <x:c r="O24" s="25" t="str">
        <x:f>IF(B24="","",IF(F24="","CHECK","READY"))</x:f>
      </x:c>
    </x:row>
    <x:row r="25" ht="22" customHeight="1">
      <x:c r="A25" s="23" t="str">
        <x:f>IF('Paste Notion Export'!A25="","",'Paste Notion Export'!A25)</x:f>
      </x:c>
      <x:c r="B25" s="24" t="str">
        <x:f>IF('Paste Notion Export'!B25="","",'Paste Notion Export'!B25)</x:f>
      </x:c>
      <x:c r="C25" s="24" t="str">
        <x:f>IF(B25="","",LOWER(SUBSTITUTE(SUBSTITUTE('Paste Notion Export'!C25,"https://",""),"www.","")))</x:f>
      </x:c>
      <x:c r="D25" s="24" t="str">
        <x:f>IF('Paste Notion Export'!D25="","",IFERROR(LEFT('Paste Notion Export'!D25,FIND(" ",'Paste Notion Export'!D25)-1),'Paste Notion Export'!D25))</x:f>
      </x:c>
      <x:c r="E25" s="24" t="str">
        <x:f>IF('Paste Notion Export'!D25="","",IFERROR(RIGHT('Paste Notion Export'!D25,LEN('Paste Notion Export'!D25)-FIND(" ",'Paste Notion Export'!D25)),""))</x:f>
      </x:c>
      <x:c r="F25" s="24" t="str">
        <x:f>IF('Paste Notion Export'!E25="","",'Paste Notion Export'!E25)</x:f>
      </x:c>
      <x:c r="G25" s="24" t="str">
        <x:f>IF('Paste Notion Export'!F25="","",'Paste Notion Export'!F25)</x:f>
      </x:c>
      <x:c r="H25" s="24" t="str">
        <x:f>IF('Paste Notion Export'!G25="","",'Paste Notion Export'!G25)</x:f>
      </x:c>
      <x:c r="I25" s="24" t="str">
        <x:f>IF('Paste Notion Export'!H25="","",'Paste Notion Export'!H25)</x:f>
      </x:c>
      <x:c r="J25" s="24" t="str">
        <x:f>IF('Paste Notion Export'!I25="","",'Paste Notion Export'!I25)</x:f>
      </x:c>
      <x:c r="K25" s="24" t="str">
        <x:f>IF('Paste Notion Export'!J25="","",'Paste Notion Export'!J25)</x:f>
      </x:c>
      <x:c r="L25" s="24" t="str">
        <x:f>IF(B25="","",B25&amp;" — New business")</x:f>
      </x:c>
      <x:c r="M25" s="24" t="str">
        <x:f>IF('Paste Notion Export'!L25="","",'Paste Notion Export'!L25)</x:f>
      </x:c>
      <x:c r="N25" s="24"/>
      <x:c r="O25" s="25" t="str">
        <x:f>IF(B25="","",IF(F25="","CHECK","READY"))</x:f>
      </x:c>
    </x:row>
    <x:row r="26" ht="22" customHeight="1">
      <x:c r="A26" s="23" t="str">
        <x:f>IF('Paste Notion Export'!A26="","",'Paste Notion Export'!A26)</x:f>
      </x:c>
      <x:c r="B26" s="24" t="str">
        <x:f>IF('Paste Notion Export'!B26="","",'Paste Notion Export'!B26)</x:f>
      </x:c>
      <x:c r="C26" s="24" t="str">
        <x:f>IF(B26="","",LOWER(SUBSTITUTE(SUBSTITUTE('Paste Notion Export'!C26,"https://",""),"www.","")))</x:f>
      </x:c>
      <x:c r="D26" s="24" t="str">
        <x:f>IF('Paste Notion Export'!D26="","",IFERROR(LEFT('Paste Notion Export'!D26,FIND(" ",'Paste Notion Export'!D26)-1),'Paste Notion Export'!D26))</x:f>
      </x:c>
      <x:c r="E26" s="24" t="str">
        <x:f>IF('Paste Notion Export'!D26="","",IFERROR(RIGHT('Paste Notion Export'!D26,LEN('Paste Notion Export'!D26)-FIND(" ",'Paste Notion Export'!D26)),""))</x:f>
      </x:c>
      <x:c r="F26" s="24" t="str">
        <x:f>IF('Paste Notion Export'!E26="","",'Paste Notion Export'!E26)</x:f>
      </x:c>
      <x:c r="G26" s="24" t="str">
        <x:f>IF('Paste Notion Export'!F26="","",'Paste Notion Export'!F26)</x:f>
      </x:c>
      <x:c r="H26" s="24" t="str">
        <x:f>IF('Paste Notion Export'!G26="","",'Paste Notion Export'!G26)</x:f>
      </x:c>
      <x:c r="I26" s="24" t="str">
        <x:f>IF('Paste Notion Export'!H26="","",'Paste Notion Export'!H26)</x:f>
      </x:c>
      <x:c r="J26" s="24" t="str">
        <x:f>IF('Paste Notion Export'!I26="","",'Paste Notion Export'!I26)</x:f>
      </x:c>
      <x:c r="K26" s="24" t="str">
        <x:f>IF('Paste Notion Export'!J26="","",'Paste Notion Export'!J26)</x:f>
      </x:c>
      <x:c r="L26" s="24" t="str">
        <x:f>IF(B26="","",B26&amp;" — New business")</x:f>
      </x:c>
      <x:c r="M26" s="24" t="str">
        <x:f>IF('Paste Notion Export'!L26="","",'Paste Notion Export'!L26)</x:f>
      </x:c>
      <x:c r="N26" s="24"/>
      <x:c r="O26" s="25" t="str">
        <x:f>IF(B26="","",IF(F26="","CHECK","READY"))</x:f>
      </x:c>
    </x:row>
    <x:row r="27" ht="22" customHeight="1">
      <x:c r="A27" s="23" t="str">
        <x:f>IF('Paste Notion Export'!A27="","",'Paste Notion Export'!A27)</x:f>
      </x:c>
      <x:c r="B27" s="24" t="str">
        <x:f>IF('Paste Notion Export'!B27="","",'Paste Notion Export'!B27)</x:f>
      </x:c>
      <x:c r="C27" s="24" t="str">
        <x:f>IF(B27="","",LOWER(SUBSTITUTE(SUBSTITUTE('Paste Notion Export'!C27,"https://",""),"www.","")))</x:f>
      </x:c>
      <x:c r="D27" s="24" t="str">
        <x:f>IF('Paste Notion Export'!D27="","",IFERROR(LEFT('Paste Notion Export'!D27,FIND(" ",'Paste Notion Export'!D27)-1),'Paste Notion Export'!D27))</x:f>
      </x:c>
      <x:c r="E27" s="24" t="str">
        <x:f>IF('Paste Notion Export'!D27="","",IFERROR(RIGHT('Paste Notion Export'!D27,LEN('Paste Notion Export'!D27)-FIND(" ",'Paste Notion Export'!D27)),""))</x:f>
      </x:c>
      <x:c r="F27" s="24" t="str">
        <x:f>IF('Paste Notion Export'!E27="","",'Paste Notion Export'!E27)</x:f>
      </x:c>
      <x:c r="G27" s="24" t="str">
        <x:f>IF('Paste Notion Export'!F27="","",'Paste Notion Export'!F27)</x:f>
      </x:c>
      <x:c r="H27" s="24" t="str">
        <x:f>IF('Paste Notion Export'!G27="","",'Paste Notion Export'!G27)</x:f>
      </x:c>
      <x:c r="I27" s="24" t="str">
        <x:f>IF('Paste Notion Export'!H27="","",'Paste Notion Export'!H27)</x:f>
      </x:c>
      <x:c r="J27" s="24" t="str">
        <x:f>IF('Paste Notion Export'!I27="","",'Paste Notion Export'!I27)</x:f>
      </x:c>
      <x:c r="K27" s="24" t="str">
        <x:f>IF('Paste Notion Export'!J27="","",'Paste Notion Export'!J27)</x:f>
      </x:c>
      <x:c r="L27" s="24" t="str">
        <x:f>IF(B27="","",B27&amp;" — New business")</x:f>
      </x:c>
      <x:c r="M27" s="24" t="str">
        <x:f>IF('Paste Notion Export'!L27="","",'Paste Notion Export'!L27)</x:f>
      </x:c>
      <x:c r="N27" s="24"/>
      <x:c r="O27" s="25" t="str">
        <x:f>IF(B27="","",IF(F27="","CHECK","READY"))</x:f>
      </x:c>
    </x:row>
    <x:row r="28" ht="22" customHeight="1">
      <x:c r="A28" s="23" t="str">
        <x:f>IF('Paste Notion Export'!A28="","",'Paste Notion Export'!A28)</x:f>
      </x:c>
      <x:c r="B28" s="24" t="str">
        <x:f>IF('Paste Notion Export'!B28="","",'Paste Notion Export'!B28)</x:f>
      </x:c>
      <x:c r="C28" s="24" t="str">
        <x:f>IF(B28="","",LOWER(SUBSTITUTE(SUBSTITUTE('Paste Notion Export'!C28,"https://",""),"www.","")))</x:f>
      </x:c>
      <x:c r="D28" s="24" t="str">
        <x:f>IF('Paste Notion Export'!D28="","",IFERROR(LEFT('Paste Notion Export'!D28,FIND(" ",'Paste Notion Export'!D28)-1),'Paste Notion Export'!D28))</x:f>
      </x:c>
      <x:c r="E28" s="24" t="str">
        <x:f>IF('Paste Notion Export'!D28="","",IFERROR(RIGHT('Paste Notion Export'!D28,LEN('Paste Notion Export'!D28)-FIND(" ",'Paste Notion Export'!D28)),""))</x:f>
      </x:c>
      <x:c r="F28" s="24" t="str">
        <x:f>IF('Paste Notion Export'!E28="","",'Paste Notion Export'!E28)</x:f>
      </x:c>
      <x:c r="G28" s="24" t="str">
        <x:f>IF('Paste Notion Export'!F28="","",'Paste Notion Export'!F28)</x:f>
      </x:c>
      <x:c r="H28" s="24" t="str">
        <x:f>IF('Paste Notion Export'!G28="","",'Paste Notion Export'!G28)</x:f>
      </x:c>
      <x:c r="I28" s="24" t="str">
        <x:f>IF('Paste Notion Export'!H28="","",'Paste Notion Export'!H28)</x:f>
      </x:c>
      <x:c r="J28" s="24" t="str">
        <x:f>IF('Paste Notion Export'!I28="","",'Paste Notion Export'!I28)</x:f>
      </x:c>
      <x:c r="K28" s="24" t="str">
        <x:f>IF('Paste Notion Export'!J28="","",'Paste Notion Export'!J28)</x:f>
      </x:c>
      <x:c r="L28" s="24" t="str">
        <x:f>IF(B28="","",B28&amp;" — New business")</x:f>
      </x:c>
      <x:c r="M28" s="24" t="str">
        <x:f>IF('Paste Notion Export'!L28="","",'Paste Notion Export'!L28)</x:f>
      </x:c>
      <x:c r="N28" s="24"/>
      <x:c r="O28" s="25" t="str">
        <x:f>IF(B28="","",IF(F28="","CHECK","READY"))</x:f>
      </x:c>
    </x:row>
    <x:row r="29" ht="22" customHeight="1">
      <x:c r="A29" s="23" t="str">
        <x:f>IF('Paste Notion Export'!A29="","",'Paste Notion Export'!A29)</x:f>
      </x:c>
      <x:c r="B29" s="24" t="str">
        <x:f>IF('Paste Notion Export'!B29="","",'Paste Notion Export'!B29)</x:f>
      </x:c>
      <x:c r="C29" s="24" t="str">
        <x:f>IF(B29="","",LOWER(SUBSTITUTE(SUBSTITUTE('Paste Notion Export'!C29,"https://",""),"www.","")))</x:f>
      </x:c>
      <x:c r="D29" s="24" t="str">
        <x:f>IF('Paste Notion Export'!D29="","",IFERROR(LEFT('Paste Notion Export'!D29,FIND(" ",'Paste Notion Export'!D29)-1),'Paste Notion Export'!D29))</x:f>
      </x:c>
      <x:c r="E29" s="24" t="str">
        <x:f>IF('Paste Notion Export'!D29="","",IFERROR(RIGHT('Paste Notion Export'!D29,LEN('Paste Notion Export'!D29)-FIND(" ",'Paste Notion Export'!D29)),""))</x:f>
      </x:c>
      <x:c r="F29" s="24" t="str">
        <x:f>IF('Paste Notion Export'!E29="","",'Paste Notion Export'!E29)</x:f>
      </x:c>
      <x:c r="G29" s="24" t="str">
        <x:f>IF('Paste Notion Export'!F29="","",'Paste Notion Export'!F29)</x:f>
      </x:c>
      <x:c r="H29" s="24" t="str">
        <x:f>IF('Paste Notion Export'!G29="","",'Paste Notion Export'!G29)</x:f>
      </x:c>
      <x:c r="I29" s="24" t="str">
        <x:f>IF('Paste Notion Export'!H29="","",'Paste Notion Export'!H29)</x:f>
      </x:c>
      <x:c r="J29" s="24" t="str">
        <x:f>IF('Paste Notion Export'!I29="","",'Paste Notion Export'!I29)</x:f>
      </x:c>
      <x:c r="K29" s="24" t="str">
        <x:f>IF('Paste Notion Export'!J29="","",'Paste Notion Export'!J29)</x:f>
      </x:c>
      <x:c r="L29" s="24" t="str">
        <x:f>IF(B29="","",B29&amp;" — New business")</x:f>
      </x:c>
      <x:c r="M29" s="24" t="str">
        <x:f>IF('Paste Notion Export'!L29="","",'Paste Notion Export'!L29)</x:f>
      </x:c>
      <x:c r="N29" s="24"/>
      <x:c r="O29" s="25" t="str">
        <x:f>IF(B29="","",IF(F29="","CHECK","READY"))</x:f>
      </x:c>
    </x:row>
    <x:row r="30" ht="22" customHeight="1">
      <x:c r="A30" s="23" t="str">
        <x:f>IF('Paste Notion Export'!A30="","",'Paste Notion Export'!A30)</x:f>
      </x:c>
      <x:c r="B30" s="24" t="str">
        <x:f>IF('Paste Notion Export'!B30="","",'Paste Notion Export'!B30)</x:f>
      </x:c>
      <x:c r="C30" s="24" t="str">
        <x:f>IF(B30="","",LOWER(SUBSTITUTE(SUBSTITUTE('Paste Notion Export'!C30,"https://",""),"www.","")))</x:f>
      </x:c>
      <x:c r="D30" s="24" t="str">
        <x:f>IF('Paste Notion Export'!D30="","",IFERROR(LEFT('Paste Notion Export'!D30,FIND(" ",'Paste Notion Export'!D30)-1),'Paste Notion Export'!D30))</x:f>
      </x:c>
      <x:c r="E30" s="24" t="str">
        <x:f>IF('Paste Notion Export'!D30="","",IFERROR(RIGHT('Paste Notion Export'!D30,LEN('Paste Notion Export'!D30)-FIND(" ",'Paste Notion Export'!D30)),""))</x:f>
      </x:c>
      <x:c r="F30" s="24" t="str">
        <x:f>IF('Paste Notion Export'!E30="","",'Paste Notion Export'!E30)</x:f>
      </x:c>
      <x:c r="G30" s="24" t="str">
        <x:f>IF('Paste Notion Export'!F30="","",'Paste Notion Export'!F30)</x:f>
      </x:c>
      <x:c r="H30" s="24" t="str">
        <x:f>IF('Paste Notion Export'!G30="","",'Paste Notion Export'!G30)</x:f>
      </x:c>
      <x:c r="I30" s="24" t="str">
        <x:f>IF('Paste Notion Export'!H30="","",'Paste Notion Export'!H30)</x:f>
      </x:c>
      <x:c r="J30" s="24" t="str">
        <x:f>IF('Paste Notion Export'!I30="","",'Paste Notion Export'!I30)</x:f>
      </x:c>
      <x:c r="K30" s="24" t="str">
        <x:f>IF('Paste Notion Export'!J30="","",'Paste Notion Export'!J30)</x:f>
      </x:c>
      <x:c r="L30" s="24" t="str">
        <x:f>IF(B30="","",B30&amp;" — New business")</x:f>
      </x:c>
      <x:c r="M30" s="24" t="str">
        <x:f>IF('Paste Notion Export'!L30="","",'Paste Notion Export'!L30)</x:f>
      </x:c>
      <x:c r="N30" s="24"/>
      <x:c r="O30" s="25" t="str">
        <x:f>IF(B30="","",IF(F30="","CHECK","READY"))</x:f>
      </x:c>
    </x:row>
    <x:row r="31" ht="22" customHeight="1">
      <x:c r="A31" s="23" t="str">
        <x:f>IF('Paste Notion Export'!A31="","",'Paste Notion Export'!A31)</x:f>
      </x:c>
      <x:c r="B31" s="24" t="str">
        <x:f>IF('Paste Notion Export'!B31="","",'Paste Notion Export'!B31)</x:f>
      </x:c>
      <x:c r="C31" s="24" t="str">
        <x:f>IF(B31="","",LOWER(SUBSTITUTE(SUBSTITUTE('Paste Notion Export'!C31,"https://",""),"www.","")))</x:f>
      </x:c>
      <x:c r="D31" s="24" t="str">
        <x:f>IF('Paste Notion Export'!D31="","",IFERROR(LEFT('Paste Notion Export'!D31,FIND(" ",'Paste Notion Export'!D31)-1),'Paste Notion Export'!D31))</x:f>
      </x:c>
      <x:c r="E31" s="24" t="str">
        <x:f>IF('Paste Notion Export'!D31="","",IFERROR(RIGHT('Paste Notion Export'!D31,LEN('Paste Notion Export'!D31)-FIND(" ",'Paste Notion Export'!D31)),""))</x:f>
      </x:c>
      <x:c r="F31" s="24" t="str">
        <x:f>IF('Paste Notion Export'!E31="","",'Paste Notion Export'!E31)</x:f>
      </x:c>
      <x:c r="G31" s="24" t="str">
        <x:f>IF('Paste Notion Export'!F31="","",'Paste Notion Export'!F31)</x:f>
      </x:c>
      <x:c r="H31" s="24" t="str">
        <x:f>IF('Paste Notion Export'!G31="","",'Paste Notion Export'!G31)</x:f>
      </x:c>
      <x:c r="I31" s="24" t="str">
        <x:f>IF('Paste Notion Export'!H31="","",'Paste Notion Export'!H31)</x:f>
      </x:c>
      <x:c r="J31" s="24" t="str">
        <x:f>IF('Paste Notion Export'!I31="","",'Paste Notion Export'!I31)</x:f>
      </x:c>
      <x:c r="K31" s="24" t="str">
        <x:f>IF('Paste Notion Export'!J31="","",'Paste Notion Export'!J31)</x:f>
      </x:c>
      <x:c r="L31" s="24" t="str">
        <x:f>IF(B31="","",B31&amp;" — New business")</x:f>
      </x:c>
      <x:c r="M31" s="24" t="str">
        <x:f>IF('Paste Notion Export'!L31="","",'Paste Notion Export'!L31)</x:f>
      </x:c>
      <x:c r="N31" s="24"/>
      <x:c r="O31" s="25" t="str">
        <x:f>IF(B31="","",IF(F31="","CHECK","READY"))</x:f>
      </x:c>
    </x:row>
    <x:row r="32" ht="22" customHeight="1">
      <x:c r="A32" s="23" t="str">
        <x:f>IF('Paste Notion Export'!A32="","",'Paste Notion Export'!A32)</x:f>
      </x:c>
      <x:c r="B32" s="24" t="str">
        <x:f>IF('Paste Notion Export'!B32="","",'Paste Notion Export'!B32)</x:f>
      </x:c>
      <x:c r="C32" s="24" t="str">
        <x:f>IF(B32="","",LOWER(SUBSTITUTE(SUBSTITUTE('Paste Notion Export'!C32,"https://",""),"www.","")))</x:f>
      </x:c>
      <x:c r="D32" s="24" t="str">
        <x:f>IF('Paste Notion Export'!D32="","",IFERROR(LEFT('Paste Notion Export'!D32,FIND(" ",'Paste Notion Export'!D32)-1),'Paste Notion Export'!D32))</x:f>
      </x:c>
      <x:c r="E32" s="24" t="str">
        <x:f>IF('Paste Notion Export'!D32="","",IFERROR(RIGHT('Paste Notion Export'!D32,LEN('Paste Notion Export'!D32)-FIND(" ",'Paste Notion Export'!D32)),""))</x:f>
      </x:c>
      <x:c r="F32" s="24" t="str">
        <x:f>IF('Paste Notion Export'!E32="","",'Paste Notion Export'!E32)</x:f>
      </x:c>
      <x:c r="G32" s="24" t="str">
        <x:f>IF('Paste Notion Export'!F32="","",'Paste Notion Export'!F32)</x:f>
      </x:c>
      <x:c r="H32" s="24" t="str">
        <x:f>IF('Paste Notion Export'!G32="","",'Paste Notion Export'!G32)</x:f>
      </x:c>
      <x:c r="I32" s="24" t="str">
        <x:f>IF('Paste Notion Export'!H32="","",'Paste Notion Export'!H32)</x:f>
      </x:c>
      <x:c r="J32" s="24" t="str">
        <x:f>IF('Paste Notion Export'!I32="","",'Paste Notion Export'!I32)</x:f>
      </x:c>
      <x:c r="K32" s="24" t="str">
        <x:f>IF('Paste Notion Export'!J32="","",'Paste Notion Export'!J32)</x:f>
      </x:c>
      <x:c r="L32" s="24" t="str">
        <x:f>IF(B32="","",B32&amp;" — New business")</x:f>
      </x:c>
      <x:c r="M32" s="24" t="str">
        <x:f>IF('Paste Notion Export'!L32="","",'Paste Notion Export'!L32)</x:f>
      </x:c>
      <x:c r="N32" s="24"/>
      <x:c r="O32" s="25" t="str">
        <x:f>IF(B32="","",IF(F32="","CHECK","READY"))</x:f>
      </x:c>
    </x:row>
    <x:row r="33" ht="22" customHeight="1">
      <x:c r="A33" s="23" t="str">
        <x:f>IF('Paste Notion Export'!A33="","",'Paste Notion Export'!A33)</x:f>
      </x:c>
      <x:c r="B33" s="24" t="str">
        <x:f>IF('Paste Notion Export'!B33="","",'Paste Notion Export'!B33)</x:f>
      </x:c>
      <x:c r="C33" s="24" t="str">
        <x:f>IF(B33="","",LOWER(SUBSTITUTE(SUBSTITUTE('Paste Notion Export'!C33,"https://",""),"www.","")))</x:f>
      </x:c>
      <x:c r="D33" s="24" t="str">
        <x:f>IF('Paste Notion Export'!D33="","",IFERROR(LEFT('Paste Notion Export'!D33,FIND(" ",'Paste Notion Export'!D33)-1),'Paste Notion Export'!D33))</x:f>
      </x:c>
      <x:c r="E33" s="24" t="str">
        <x:f>IF('Paste Notion Export'!D33="","",IFERROR(RIGHT('Paste Notion Export'!D33,LEN('Paste Notion Export'!D33)-FIND(" ",'Paste Notion Export'!D33)),""))</x:f>
      </x:c>
      <x:c r="F33" s="24" t="str">
        <x:f>IF('Paste Notion Export'!E33="","",'Paste Notion Export'!E33)</x:f>
      </x:c>
      <x:c r="G33" s="24" t="str">
        <x:f>IF('Paste Notion Export'!F33="","",'Paste Notion Export'!F33)</x:f>
      </x:c>
      <x:c r="H33" s="24" t="str">
        <x:f>IF('Paste Notion Export'!G33="","",'Paste Notion Export'!G33)</x:f>
      </x:c>
      <x:c r="I33" s="24" t="str">
        <x:f>IF('Paste Notion Export'!H33="","",'Paste Notion Export'!H33)</x:f>
      </x:c>
      <x:c r="J33" s="24" t="str">
        <x:f>IF('Paste Notion Export'!I33="","",'Paste Notion Export'!I33)</x:f>
      </x:c>
      <x:c r="K33" s="24" t="str">
        <x:f>IF('Paste Notion Export'!J33="","",'Paste Notion Export'!J33)</x:f>
      </x:c>
      <x:c r="L33" s="24" t="str">
        <x:f>IF(B33="","",B33&amp;" — New business")</x:f>
      </x:c>
      <x:c r="M33" s="24" t="str">
        <x:f>IF('Paste Notion Export'!L33="","",'Paste Notion Export'!L33)</x:f>
      </x:c>
      <x:c r="N33" s="24"/>
      <x:c r="O33" s="25" t="str">
        <x:f>IF(B33="","",IF(F33="","CHECK","READY"))</x:f>
      </x:c>
    </x:row>
    <x:row r="34" ht="22" customHeight="1">
      <x:c r="A34" s="23" t="str">
        <x:f>IF('Paste Notion Export'!A34="","",'Paste Notion Export'!A34)</x:f>
      </x:c>
      <x:c r="B34" s="24" t="str">
        <x:f>IF('Paste Notion Export'!B34="","",'Paste Notion Export'!B34)</x:f>
      </x:c>
      <x:c r="C34" s="24" t="str">
        <x:f>IF(B34="","",LOWER(SUBSTITUTE(SUBSTITUTE('Paste Notion Export'!C34,"https://",""),"www.","")))</x:f>
      </x:c>
      <x:c r="D34" s="24" t="str">
        <x:f>IF('Paste Notion Export'!D34="","",IFERROR(LEFT('Paste Notion Export'!D34,FIND(" ",'Paste Notion Export'!D34)-1),'Paste Notion Export'!D34))</x:f>
      </x:c>
      <x:c r="E34" s="24" t="str">
        <x:f>IF('Paste Notion Export'!D34="","",IFERROR(RIGHT('Paste Notion Export'!D34,LEN('Paste Notion Export'!D34)-FIND(" ",'Paste Notion Export'!D34)),""))</x:f>
      </x:c>
      <x:c r="F34" s="24" t="str">
        <x:f>IF('Paste Notion Export'!E34="","",'Paste Notion Export'!E34)</x:f>
      </x:c>
      <x:c r="G34" s="24" t="str">
        <x:f>IF('Paste Notion Export'!F34="","",'Paste Notion Export'!F34)</x:f>
      </x:c>
      <x:c r="H34" s="24" t="str">
        <x:f>IF('Paste Notion Export'!G34="","",'Paste Notion Export'!G34)</x:f>
      </x:c>
      <x:c r="I34" s="24" t="str">
        <x:f>IF('Paste Notion Export'!H34="","",'Paste Notion Export'!H34)</x:f>
      </x:c>
      <x:c r="J34" s="24" t="str">
        <x:f>IF('Paste Notion Export'!I34="","",'Paste Notion Export'!I34)</x:f>
      </x:c>
      <x:c r="K34" s="24" t="str">
        <x:f>IF('Paste Notion Export'!J34="","",'Paste Notion Export'!J34)</x:f>
      </x:c>
      <x:c r="L34" s="24" t="str">
        <x:f>IF(B34="","",B34&amp;" — New business")</x:f>
      </x:c>
      <x:c r="M34" s="24" t="str">
        <x:f>IF('Paste Notion Export'!L34="","",'Paste Notion Export'!L34)</x:f>
      </x:c>
      <x:c r="N34" s="24"/>
      <x:c r="O34" s="25" t="str">
        <x:f>IF(B34="","",IF(F34="","CHECK","READY"))</x:f>
      </x:c>
    </x:row>
    <x:row r="35" ht="22" customHeight="1">
      <x:c r="A35" s="23" t="str">
        <x:f>IF('Paste Notion Export'!A35="","",'Paste Notion Export'!A35)</x:f>
      </x:c>
      <x:c r="B35" s="24" t="str">
        <x:f>IF('Paste Notion Export'!B35="","",'Paste Notion Export'!B35)</x:f>
      </x:c>
      <x:c r="C35" s="24" t="str">
        <x:f>IF(B35="","",LOWER(SUBSTITUTE(SUBSTITUTE('Paste Notion Export'!C35,"https://",""),"www.","")))</x:f>
      </x:c>
      <x:c r="D35" s="24" t="str">
        <x:f>IF('Paste Notion Export'!D35="","",IFERROR(LEFT('Paste Notion Export'!D35,FIND(" ",'Paste Notion Export'!D35)-1),'Paste Notion Export'!D35))</x:f>
      </x:c>
      <x:c r="E35" s="24" t="str">
        <x:f>IF('Paste Notion Export'!D35="","",IFERROR(RIGHT('Paste Notion Export'!D35,LEN('Paste Notion Export'!D35)-FIND(" ",'Paste Notion Export'!D35)),""))</x:f>
      </x:c>
      <x:c r="F35" s="24" t="str">
        <x:f>IF('Paste Notion Export'!E35="","",'Paste Notion Export'!E35)</x:f>
      </x:c>
      <x:c r="G35" s="24" t="str">
        <x:f>IF('Paste Notion Export'!F35="","",'Paste Notion Export'!F35)</x:f>
      </x:c>
      <x:c r="H35" s="24" t="str">
        <x:f>IF('Paste Notion Export'!G35="","",'Paste Notion Export'!G35)</x:f>
      </x:c>
      <x:c r="I35" s="24" t="str">
        <x:f>IF('Paste Notion Export'!H35="","",'Paste Notion Export'!H35)</x:f>
      </x:c>
      <x:c r="J35" s="24" t="str">
        <x:f>IF('Paste Notion Export'!I35="","",'Paste Notion Export'!I35)</x:f>
      </x:c>
      <x:c r="K35" s="24" t="str">
        <x:f>IF('Paste Notion Export'!J35="","",'Paste Notion Export'!J35)</x:f>
      </x:c>
      <x:c r="L35" s="24" t="str">
        <x:f>IF(B35="","",B35&amp;" — New business")</x:f>
      </x:c>
      <x:c r="M35" s="24" t="str">
        <x:f>IF('Paste Notion Export'!L35="","",'Paste Notion Export'!L35)</x:f>
      </x:c>
      <x:c r="N35" s="24"/>
      <x:c r="O35" s="25" t="str">
        <x:f>IF(B35="","",IF(F35="","CHECK","READY"))</x:f>
      </x:c>
    </x:row>
    <x:row r="36" ht="22" customHeight="1">
      <x:c r="A36" s="23" t="str">
        <x:f>IF('Paste Notion Export'!A36="","",'Paste Notion Export'!A36)</x:f>
      </x:c>
      <x:c r="B36" s="24" t="str">
        <x:f>IF('Paste Notion Export'!B36="","",'Paste Notion Export'!B36)</x:f>
      </x:c>
      <x:c r="C36" s="24" t="str">
        <x:f>IF(B36="","",LOWER(SUBSTITUTE(SUBSTITUTE('Paste Notion Export'!C36,"https://",""),"www.","")))</x:f>
      </x:c>
      <x:c r="D36" s="24" t="str">
        <x:f>IF('Paste Notion Export'!D36="","",IFERROR(LEFT('Paste Notion Export'!D36,FIND(" ",'Paste Notion Export'!D36)-1),'Paste Notion Export'!D36))</x:f>
      </x:c>
      <x:c r="E36" s="24" t="str">
        <x:f>IF('Paste Notion Export'!D36="","",IFERROR(RIGHT('Paste Notion Export'!D36,LEN('Paste Notion Export'!D36)-FIND(" ",'Paste Notion Export'!D36)),""))</x:f>
      </x:c>
      <x:c r="F36" s="24" t="str">
        <x:f>IF('Paste Notion Export'!E36="","",'Paste Notion Export'!E36)</x:f>
      </x:c>
      <x:c r="G36" s="24" t="str">
        <x:f>IF('Paste Notion Export'!F36="","",'Paste Notion Export'!F36)</x:f>
      </x:c>
      <x:c r="H36" s="24" t="str">
        <x:f>IF('Paste Notion Export'!G36="","",'Paste Notion Export'!G36)</x:f>
      </x:c>
      <x:c r="I36" s="24" t="str">
        <x:f>IF('Paste Notion Export'!H36="","",'Paste Notion Export'!H36)</x:f>
      </x:c>
      <x:c r="J36" s="24" t="str">
        <x:f>IF('Paste Notion Export'!I36="","",'Paste Notion Export'!I36)</x:f>
      </x:c>
      <x:c r="K36" s="24" t="str">
        <x:f>IF('Paste Notion Export'!J36="","",'Paste Notion Export'!J36)</x:f>
      </x:c>
      <x:c r="L36" s="24" t="str">
        <x:f>IF(B36="","",B36&amp;" — New business")</x:f>
      </x:c>
      <x:c r="M36" s="24" t="str">
        <x:f>IF('Paste Notion Export'!L36="","",'Paste Notion Export'!L36)</x:f>
      </x:c>
      <x:c r="N36" s="24"/>
      <x:c r="O36" s="25" t="str">
        <x:f>IF(B36="","",IF(F36="","CHECK","READY"))</x:f>
      </x:c>
    </x:row>
    <x:row r="37" ht="22" customHeight="1">
      <x:c r="A37" s="23" t="str">
        <x:f>IF('Paste Notion Export'!A37="","",'Paste Notion Export'!A37)</x:f>
      </x:c>
      <x:c r="B37" s="24" t="str">
        <x:f>IF('Paste Notion Export'!B37="","",'Paste Notion Export'!B37)</x:f>
      </x:c>
      <x:c r="C37" s="24" t="str">
        <x:f>IF(B37="","",LOWER(SUBSTITUTE(SUBSTITUTE('Paste Notion Export'!C37,"https://",""),"www.","")))</x:f>
      </x:c>
      <x:c r="D37" s="24" t="str">
        <x:f>IF('Paste Notion Export'!D37="","",IFERROR(LEFT('Paste Notion Export'!D37,FIND(" ",'Paste Notion Export'!D37)-1),'Paste Notion Export'!D37))</x:f>
      </x:c>
      <x:c r="E37" s="24" t="str">
        <x:f>IF('Paste Notion Export'!D37="","",IFERROR(RIGHT('Paste Notion Export'!D37,LEN('Paste Notion Export'!D37)-FIND(" ",'Paste Notion Export'!D37)),""))</x:f>
      </x:c>
      <x:c r="F37" s="24" t="str">
        <x:f>IF('Paste Notion Export'!E37="","",'Paste Notion Export'!E37)</x:f>
      </x:c>
      <x:c r="G37" s="24" t="str">
        <x:f>IF('Paste Notion Export'!F37="","",'Paste Notion Export'!F37)</x:f>
      </x:c>
      <x:c r="H37" s="24" t="str">
        <x:f>IF('Paste Notion Export'!G37="","",'Paste Notion Export'!G37)</x:f>
      </x:c>
      <x:c r="I37" s="24" t="str">
        <x:f>IF('Paste Notion Export'!H37="","",'Paste Notion Export'!H37)</x:f>
      </x:c>
      <x:c r="J37" s="24" t="str">
        <x:f>IF('Paste Notion Export'!I37="","",'Paste Notion Export'!I37)</x:f>
      </x:c>
      <x:c r="K37" s="24" t="str">
        <x:f>IF('Paste Notion Export'!J37="","",'Paste Notion Export'!J37)</x:f>
      </x:c>
      <x:c r="L37" s="24" t="str">
        <x:f>IF(B37="","",B37&amp;" — New business")</x:f>
      </x:c>
      <x:c r="M37" s="24" t="str">
        <x:f>IF('Paste Notion Export'!L37="","",'Paste Notion Export'!L37)</x:f>
      </x:c>
      <x:c r="N37" s="24"/>
      <x:c r="O37" s="25" t="str">
        <x:f>IF(B37="","",IF(F37="","CHECK","READY"))</x:f>
      </x:c>
    </x:row>
    <x:row r="38" ht="22" customHeight="1">
      <x:c r="A38" s="23" t="str">
        <x:f>IF('Paste Notion Export'!A38="","",'Paste Notion Export'!A38)</x:f>
      </x:c>
      <x:c r="B38" s="24" t="str">
        <x:f>IF('Paste Notion Export'!B38="","",'Paste Notion Export'!B38)</x:f>
      </x:c>
      <x:c r="C38" s="24" t="str">
        <x:f>IF(B38="","",LOWER(SUBSTITUTE(SUBSTITUTE('Paste Notion Export'!C38,"https://",""),"www.","")))</x:f>
      </x:c>
      <x:c r="D38" s="24" t="str">
        <x:f>IF('Paste Notion Export'!D38="","",IFERROR(LEFT('Paste Notion Export'!D38,FIND(" ",'Paste Notion Export'!D38)-1),'Paste Notion Export'!D38))</x:f>
      </x:c>
      <x:c r="E38" s="24" t="str">
        <x:f>IF('Paste Notion Export'!D38="","",IFERROR(RIGHT('Paste Notion Export'!D38,LEN('Paste Notion Export'!D38)-FIND(" ",'Paste Notion Export'!D38)),""))</x:f>
      </x:c>
      <x:c r="F38" s="24" t="str">
        <x:f>IF('Paste Notion Export'!E38="","",'Paste Notion Export'!E38)</x:f>
      </x:c>
      <x:c r="G38" s="24" t="str">
        <x:f>IF('Paste Notion Export'!F38="","",'Paste Notion Export'!F38)</x:f>
      </x:c>
      <x:c r="H38" s="24" t="str">
        <x:f>IF('Paste Notion Export'!G38="","",'Paste Notion Export'!G38)</x:f>
      </x:c>
      <x:c r="I38" s="24" t="str">
        <x:f>IF('Paste Notion Export'!H38="","",'Paste Notion Export'!H38)</x:f>
      </x:c>
      <x:c r="J38" s="24" t="str">
        <x:f>IF('Paste Notion Export'!I38="","",'Paste Notion Export'!I38)</x:f>
      </x:c>
      <x:c r="K38" s="24" t="str">
        <x:f>IF('Paste Notion Export'!J38="","",'Paste Notion Export'!J38)</x:f>
      </x:c>
      <x:c r="L38" s="24" t="str">
        <x:f>IF(B38="","",B38&amp;" — New business")</x:f>
      </x:c>
      <x:c r="M38" s="24" t="str">
        <x:f>IF('Paste Notion Export'!L38="","",'Paste Notion Export'!L38)</x:f>
      </x:c>
      <x:c r="N38" s="24"/>
      <x:c r="O38" s="25" t="str">
        <x:f>IF(B38="","",IF(F38="","CHECK","READY"))</x:f>
      </x:c>
    </x:row>
    <x:row r="39" ht="22" customHeight="1">
      <x:c r="A39" s="23" t="str">
        <x:f>IF('Paste Notion Export'!A39="","",'Paste Notion Export'!A39)</x:f>
      </x:c>
      <x:c r="B39" s="24" t="str">
        <x:f>IF('Paste Notion Export'!B39="","",'Paste Notion Export'!B39)</x:f>
      </x:c>
      <x:c r="C39" s="24" t="str">
        <x:f>IF(B39="","",LOWER(SUBSTITUTE(SUBSTITUTE('Paste Notion Export'!C39,"https://",""),"www.","")))</x:f>
      </x:c>
      <x:c r="D39" s="24" t="str">
        <x:f>IF('Paste Notion Export'!D39="","",IFERROR(LEFT('Paste Notion Export'!D39,FIND(" ",'Paste Notion Export'!D39)-1),'Paste Notion Export'!D39))</x:f>
      </x:c>
      <x:c r="E39" s="24" t="str">
        <x:f>IF('Paste Notion Export'!D39="","",IFERROR(RIGHT('Paste Notion Export'!D39,LEN('Paste Notion Export'!D39)-FIND(" ",'Paste Notion Export'!D39)),""))</x:f>
      </x:c>
      <x:c r="F39" s="24" t="str">
        <x:f>IF('Paste Notion Export'!E39="","",'Paste Notion Export'!E39)</x:f>
      </x:c>
      <x:c r="G39" s="24" t="str">
        <x:f>IF('Paste Notion Export'!F39="","",'Paste Notion Export'!F39)</x:f>
      </x:c>
      <x:c r="H39" s="24" t="str">
        <x:f>IF('Paste Notion Export'!G39="","",'Paste Notion Export'!G39)</x:f>
      </x:c>
      <x:c r="I39" s="24" t="str">
        <x:f>IF('Paste Notion Export'!H39="","",'Paste Notion Export'!H39)</x:f>
      </x:c>
      <x:c r="J39" s="24" t="str">
        <x:f>IF('Paste Notion Export'!I39="","",'Paste Notion Export'!I39)</x:f>
      </x:c>
      <x:c r="K39" s="24" t="str">
        <x:f>IF('Paste Notion Export'!J39="","",'Paste Notion Export'!J39)</x:f>
      </x:c>
      <x:c r="L39" s="24" t="str">
        <x:f>IF(B39="","",B39&amp;" — New business")</x:f>
      </x:c>
      <x:c r="M39" s="24" t="str">
        <x:f>IF('Paste Notion Export'!L39="","",'Paste Notion Export'!L39)</x:f>
      </x:c>
      <x:c r="N39" s="24"/>
      <x:c r="O39" s="25" t="str">
        <x:f>IF(B39="","",IF(F39="","CHECK","READY"))</x:f>
      </x:c>
    </x:row>
    <x:row r="40" ht="22" customHeight="1">
      <x:c r="A40" s="23" t="str">
        <x:f>IF('Paste Notion Export'!A40="","",'Paste Notion Export'!A40)</x:f>
      </x:c>
      <x:c r="B40" s="24" t="str">
        <x:f>IF('Paste Notion Export'!B40="","",'Paste Notion Export'!B40)</x:f>
      </x:c>
      <x:c r="C40" s="24" t="str">
        <x:f>IF(B40="","",LOWER(SUBSTITUTE(SUBSTITUTE('Paste Notion Export'!C40,"https://",""),"www.","")))</x:f>
      </x:c>
      <x:c r="D40" s="24" t="str">
        <x:f>IF('Paste Notion Export'!D40="","",IFERROR(LEFT('Paste Notion Export'!D40,FIND(" ",'Paste Notion Export'!D40)-1),'Paste Notion Export'!D40))</x:f>
      </x:c>
      <x:c r="E40" s="24" t="str">
        <x:f>IF('Paste Notion Export'!D40="","",IFERROR(RIGHT('Paste Notion Export'!D40,LEN('Paste Notion Export'!D40)-FIND(" ",'Paste Notion Export'!D40)),""))</x:f>
      </x:c>
      <x:c r="F40" s="24" t="str">
        <x:f>IF('Paste Notion Export'!E40="","",'Paste Notion Export'!E40)</x:f>
      </x:c>
      <x:c r="G40" s="24" t="str">
        <x:f>IF('Paste Notion Export'!F40="","",'Paste Notion Export'!F40)</x:f>
      </x:c>
      <x:c r="H40" s="24" t="str">
        <x:f>IF('Paste Notion Export'!G40="","",'Paste Notion Export'!G40)</x:f>
      </x:c>
      <x:c r="I40" s="24" t="str">
        <x:f>IF('Paste Notion Export'!H40="","",'Paste Notion Export'!H40)</x:f>
      </x:c>
      <x:c r="J40" s="24" t="str">
        <x:f>IF('Paste Notion Export'!I40="","",'Paste Notion Export'!I40)</x:f>
      </x:c>
      <x:c r="K40" s="24" t="str">
        <x:f>IF('Paste Notion Export'!J40="","",'Paste Notion Export'!J40)</x:f>
      </x:c>
      <x:c r="L40" s="24" t="str">
        <x:f>IF(B40="","",B40&amp;" — New business")</x:f>
      </x:c>
      <x:c r="M40" s="24" t="str">
        <x:f>IF('Paste Notion Export'!L40="","",'Paste Notion Export'!L40)</x:f>
      </x:c>
      <x:c r="N40" s="24"/>
      <x:c r="O40" s="25" t="str">
        <x:f>IF(B40="","",IF(F40="","CHECK","READY"))</x:f>
      </x:c>
    </x:row>
    <x:row r="41" ht="22" customHeight="1">
      <x:c r="A41" s="23" t="str">
        <x:f>IF('Paste Notion Export'!A41="","",'Paste Notion Export'!A41)</x:f>
      </x:c>
      <x:c r="B41" s="24" t="str">
        <x:f>IF('Paste Notion Export'!B41="","",'Paste Notion Export'!B41)</x:f>
      </x:c>
      <x:c r="C41" s="24" t="str">
        <x:f>IF(B41="","",LOWER(SUBSTITUTE(SUBSTITUTE('Paste Notion Export'!C41,"https://",""),"www.","")))</x:f>
      </x:c>
      <x:c r="D41" s="24" t="str">
        <x:f>IF('Paste Notion Export'!D41="","",IFERROR(LEFT('Paste Notion Export'!D41,FIND(" ",'Paste Notion Export'!D41)-1),'Paste Notion Export'!D41))</x:f>
      </x:c>
      <x:c r="E41" s="24" t="str">
        <x:f>IF('Paste Notion Export'!D41="","",IFERROR(RIGHT('Paste Notion Export'!D41,LEN('Paste Notion Export'!D41)-FIND(" ",'Paste Notion Export'!D41)),""))</x:f>
      </x:c>
      <x:c r="F41" s="24" t="str">
        <x:f>IF('Paste Notion Export'!E41="","",'Paste Notion Export'!E41)</x:f>
      </x:c>
      <x:c r="G41" s="24" t="str">
        <x:f>IF('Paste Notion Export'!F41="","",'Paste Notion Export'!F41)</x:f>
      </x:c>
      <x:c r="H41" s="24" t="str">
        <x:f>IF('Paste Notion Export'!G41="","",'Paste Notion Export'!G41)</x:f>
      </x:c>
      <x:c r="I41" s="24" t="str">
        <x:f>IF('Paste Notion Export'!H41="","",'Paste Notion Export'!H41)</x:f>
      </x:c>
      <x:c r="J41" s="24" t="str">
        <x:f>IF('Paste Notion Export'!I41="","",'Paste Notion Export'!I41)</x:f>
      </x:c>
      <x:c r="K41" s="24" t="str">
        <x:f>IF('Paste Notion Export'!J41="","",'Paste Notion Export'!J41)</x:f>
      </x:c>
      <x:c r="L41" s="24" t="str">
        <x:f>IF(B41="","",B41&amp;" — New business")</x:f>
      </x:c>
      <x:c r="M41" s="24" t="str">
        <x:f>IF('Paste Notion Export'!L41="","",'Paste Notion Export'!L41)</x:f>
      </x:c>
      <x:c r="N41" s="24"/>
      <x:c r="O41" s="25" t="str">
        <x:f>IF(B41="","",IF(F41="","CHECK","READY"))</x:f>
      </x:c>
    </x:row>
    <x:row r="42" ht="22" customHeight="1">
      <x:c r="A42" s="23" t="str">
        <x:f>IF('Paste Notion Export'!A42="","",'Paste Notion Export'!A42)</x:f>
      </x:c>
      <x:c r="B42" s="24" t="str">
        <x:f>IF('Paste Notion Export'!B42="","",'Paste Notion Export'!B42)</x:f>
      </x:c>
      <x:c r="C42" s="24" t="str">
        <x:f>IF(B42="","",LOWER(SUBSTITUTE(SUBSTITUTE('Paste Notion Export'!C42,"https://",""),"www.","")))</x:f>
      </x:c>
      <x:c r="D42" s="24" t="str">
        <x:f>IF('Paste Notion Export'!D42="","",IFERROR(LEFT('Paste Notion Export'!D42,FIND(" ",'Paste Notion Export'!D42)-1),'Paste Notion Export'!D42))</x:f>
      </x:c>
      <x:c r="E42" s="24" t="str">
        <x:f>IF('Paste Notion Export'!D42="","",IFERROR(RIGHT('Paste Notion Export'!D42,LEN('Paste Notion Export'!D42)-FIND(" ",'Paste Notion Export'!D42)),""))</x:f>
      </x:c>
      <x:c r="F42" s="24" t="str">
        <x:f>IF('Paste Notion Export'!E42="","",'Paste Notion Export'!E42)</x:f>
      </x:c>
      <x:c r="G42" s="24" t="str">
        <x:f>IF('Paste Notion Export'!F42="","",'Paste Notion Export'!F42)</x:f>
      </x:c>
      <x:c r="H42" s="24" t="str">
        <x:f>IF('Paste Notion Export'!G42="","",'Paste Notion Export'!G42)</x:f>
      </x:c>
      <x:c r="I42" s="24" t="str">
        <x:f>IF('Paste Notion Export'!H42="","",'Paste Notion Export'!H42)</x:f>
      </x:c>
      <x:c r="J42" s="24" t="str">
        <x:f>IF('Paste Notion Export'!I42="","",'Paste Notion Export'!I42)</x:f>
      </x:c>
      <x:c r="K42" s="24" t="str">
        <x:f>IF('Paste Notion Export'!J42="","",'Paste Notion Export'!J42)</x:f>
      </x:c>
      <x:c r="L42" s="24" t="str">
        <x:f>IF(B42="","",B42&amp;" — New business")</x:f>
      </x:c>
      <x:c r="M42" s="24" t="str">
        <x:f>IF('Paste Notion Export'!L42="","",'Paste Notion Export'!L42)</x:f>
      </x:c>
      <x:c r="N42" s="24"/>
      <x:c r="O42" s="25" t="str">
        <x:f>IF(B42="","",IF(F42="","CHECK","READY"))</x:f>
      </x:c>
    </x:row>
    <x:row r="43" ht="22" customHeight="1">
      <x:c r="A43" s="23" t="str">
        <x:f>IF('Paste Notion Export'!A43="","",'Paste Notion Export'!A43)</x:f>
      </x:c>
      <x:c r="B43" s="24" t="str">
        <x:f>IF('Paste Notion Export'!B43="","",'Paste Notion Export'!B43)</x:f>
      </x:c>
      <x:c r="C43" s="24" t="str">
        <x:f>IF(B43="","",LOWER(SUBSTITUTE(SUBSTITUTE('Paste Notion Export'!C43,"https://",""),"www.","")))</x:f>
      </x:c>
      <x:c r="D43" s="24" t="str">
        <x:f>IF('Paste Notion Export'!D43="","",IFERROR(LEFT('Paste Notion Export'!D43,FIND(" ",'Paste Notion Export'!D43)-1),'Paste Notion Export'!D43))</x:f>
      </x:c>
      <x:c r="E43" s="24" t="str">
        <x:f>IF('Paste Notion Export'!D43="","",IFERROR(RIGHT('Paste Notion Export'!D43,LEN('Paste Notion Export'!D43)-FIND(" ",'Paste Notion Export'!D43)),""))</x:f>
      </x:c>
      <x:c r="F43" s="24" t="str">
        <x:f>IF('Paste Notion Export'!E43="","",'Paste Notion Export'!E43)</x:f>
      </x:c>
      <x:c r="G43" s="24" t="str">
        <x:f>IF('Paste Notion Export'!F43="","",'Paste Notion Export'!F43)</x:f>
      </x:c>
      <x:c r="H43" s="24" t="str">
        <x:f>IF('Paste Notion Export'!G43="","",'Paste Notion Export'!G43)</x:f>
      </x:c>
      <x:c r="I43" s="24" t="str">
        <x:f>IF('Paste Notion Export'!H43="","",'Paste Notion Export'!H43)</x:f>
      </x:c>
      <x:c r="J43" s="24" t="str">
        <x:f>IF('Paste Notion Export'!I43="","",'Paste Notion Export'!I43)</x:f>
      </x:c>
      <x:c r="K43" s="24" t="str">
        <x:f>IF('Paste Notion Export'!J43="","",'Paste Notion Export'!J43)</x:f>
      </x:c>
      <x:c r="L43" s="24" t="str">
        <x:f>IF(B43="","",B43&amp;" — New business")</x:f>
      </x:c>
      <x:c r="M43" s="24" t="str">
        <x:f>IF('Paste Notion Export'!L43="","",'Paste Notion Export'!L43)</x:f>
      </x:c>
      <x:c r="N43" s="24"/>
      <x:c r="O43" s="25" t="str">
        <x:f>IF(B43="","",IF(F43="","CHECK","READY"))</x:f>
      </x:c>
    </x:row>
    <x:row r="44" ht="22" customHeight="1">
      <x:c r="A44" s="23" t="str">
        <x:f>IF('Paste Notion Export'!A44="","",'Paste Notion Export'!A44)</x:f>
      </x:c>
      <x:c r="B44" s="24" t="str">
        <x:f>IF('Paste Notion Export'!B44="","",'Paste Notion Export'!B44)</x:f>
      </x:c>
      <x:c r="C44" s="24" t="str">
        <x:f>IF(B44="","",LOWER(SUBSTITUTE(SUBSTITUTE('Paste Notion Export'!C44,"https://",""),"www.","")))</x:f>
      </x:c>
      <x:c r="D44" s="24" t="str">
        <x:f>IF('Paste Notion Export'!D44="","",IFERROR(LEFT('Paste Notion Export'!D44,FIND(" ",'Paste Notion Export'!D44)-1),'Paste Notion Export'!D44))</x:f>
      </x:c>
      <x:c r="E44" s="24" t="str">
        <x:f>IF('Paste Notion Export'!D44="","",IFERROR(RIGHT('Paste Notion Export'!D44,LEN('Paste Notion Export'!D44)-FIND(" ",'Paste Notion Export'!D44)),""))</x:f>
      </x:c>
      <x:c r="F44" s="24" t="str">
        <x:f>IF('Paste Notion Export'!E44="","",'Paste Notion Export'!E44)</x:f>
      </x:c>
      <x:c r="G44" s="24" t="str">
        <x:f>IF('Paste Notion Export'!F44="","",'Paste Notion Export'!F44)</x:f>
      </x:c>
      <x:c r="H44" s="24" t="str">
        <x:f>IF('Paste Notion Export'!G44="","",'Paste Notion Export'!G44)</x:f>
      </x:c>
      <x:c r="I44" s="24" t="str">
        <x:f>IF('Paste Notion Export'!H44="","",'Paste Notion Export'!H44)</x:f>
      </x:c>
      <x:c r="J44" s="24" t="str">
        <x:f>IF('Paste Notion Export'!I44="","",'Paste Notion Export'!I44)</x:f>
      </x:c>
      <x:c r="K44" s="24" t="str">
        <x:f>IF('Paste Notion Export'!J44="","",'Paste Notion Export'!J44)</x:f>
      </x:c>
      <x:c r="L44" s="24" t="str">
        <x:f>IF(B44="","",B44&amp;" — New business")</x:f>
      </x:c>
      <x:c r="M44" s="24" t="str">
        <x:f>IF('Paste Notion Export'!L44="","",'Paste Notion Export'!L44)</x:f>
      </x:c>
      <x:c r="N44" s="24"/>
      <x:c r="O44" s="25" t="str">
        <x:f>IF(B44="","",IF(F44="","CHECK","READY"))</x:f>
      </x:c>
    </x:row>
    <x:row r="45" ht="22" customHeight="1">
      <x:c r="A45" s="23" t="str">
        <x:f>IF('Paste Notion Export'!A45="","",'Paste Notion Export'!A45)</x:f>
      </x:c>
      <x:c r="B45" s="24" t="str">
        <x:f>IF('Paste Notion Export'!B45="","",'Paste Notion Export'!B45)</x:f>
      </x:c>
      <x:c r="C45" s="24" t="str">
        <x:f>IF(B45="","",LOWER(SUBSTITUTE(SUBSTITUTE('Paste Notion Export'!C45,"https://",""),"www.","")))</x:f>
      </x:c>
      <x:c r="D45" s="24" t="str">
        <x:f>IF('Paste Notion Export'!D45="","",IFERROR(LEFT('Paste Notion Export'!D45,FIND(" ",'Paste Notion Export'!D45)-1),'Paste Notion Export'!D45))</x:f>
      </x:c>
      <x:c r="E45" s="24" t="str">
        <x:f>IF('Paste Notion Export'!D45="","",IFERROR(RIGHT('Paste Notion Export'!D45,LEN('Paste Notion Export'!D45)-FIND(" ",'Paste Notion Export'!D45)),""))</x:f>
      </x:c>
      <x:c r="F45" s="24" t="str">
        <x:f>IF('Paste Notion Export'!E45="","",'Paste Notion Export'!E45)</x:f>
      </x:c>
      <x:c r="G45" s="24" t="str">
        <x:f>IF('Paste Notion Export'!F45="","",'Paste Notion Export'!F45)</x:f>
      </x:c>
      <x:c r="H45" s="24" t="str">
        <x:f>IF('Paste Notion Export'!G45="","",'Paste Notion Export'!G45)</x:f>
      </x:c>
      <x:c r="I45" s="24" t="str">
        <x:f>IF('Paste Notion Export'!H45="","",'Paste Notion Export'!H45)</x:f>
      </x:c>
      <x:c r="J45" s="24" t="str">
        <x:f>IF('Paste Notion Export'!I45="","",'Paste Notion Export'!I45)</x:f>
      </x:c>
      <x:c r="K45" s="24" t="str">
        <x:f>IF('Paste Notion Export'!J45="","",'Paste Notion Export'!J45)</x:f>
      </x:c>
      <x:c r="L45" s="24" t="str">
        <x:f>IF(B45="","",B45&amp;" — New business")</x:f>
      </x:c>
      <x:c r="M45" s="24" t="str">
        <x:f>IF('Paste Notion Export'!L45="","",'Paste Notion Export'!L45)</x:f>
      </x:c>
      <x:c r="N45" s="24"/>
      <x:c r="O45" s="25" t="str">
        <x:f>IF(B45="","",IF(F45="","CHECK","READY"))</x:f>
      </x:c>
    </x:row>
    <x:row r="46" ht="22" customHeight="1">
      <x:c r="A46" s="23" t="str">
        <x:f>IF('Paste Notion Export'!A46="","",'Paste Notion Export'!A46)</x:f>
      </x:c>
      <x:c r="B46" s="24" t="str">
        <x:f>IF('Paste Notion Export'!B46="","",'Paste Notion Export'!B46)</x:f>
      </x:c>
      <x:c r="C46" s="24" t="str">
        <x:f>IF(B46="","",LOWER(SUBSTITUTE(SUBSTITUTE('Paste Notion Export'!C46,"https://",""),"www.","")))</x:f>
      </x:c>
      <x:c r="D46" s="24" t="str">
        <x:f>IF('Paste Notion Export'!D46="","",IFERROR(LEFT('Paste Notion Export'!D46,FIND(" ",'Paste Notion Export'!D46)-1),'Paste Notion Export'!D46))</x:f>
      </x:c>
      <x:c r="E46" s="24" t="str">
        <x:f>IF('Paste Notion Export'!D46="","",IFERROR(RIGHT('Paste Notion Export'!D46,LEN('Paste Notion Export'!D46)-FIND(" ",'Paste Notion Export'!D46)),""))</x:f>
      </x:c>
      <x:c r="F46" s="24" t="str">
        <x:f>IF('Paste Notion Export'!E46="","",'Paste Notion Export'!E46)</x:f>
      </x:c>
      <x:c r="G46" s="24" t="str">
        <x:f>IF('Paste Notion Export'!F46="","",'Paste Notion Export'!F46)</x:f>
      </x:c>
      <x:c r="H46" s="24" t="str">
        <x:f>IF('Paste Notion Export'!G46="","",'Paste Notion Export'!G46)</x:f>
      </x:c>
      <x:c r="I46" s="24" t="str">
        <x:f>IF('Paste Notion Export'!H46="","",'Paste Notion Export'!H46)</x:f>
      </x:c>
      <x:c r="J46" s="24" t="str">
        <x:f>IF('Paste Notion Export'!I46="","",'Paste Notion Export'!I46)</x:f>
      </x:c>
      <x:c r="K46" s="24" t="str">
        <x:f>IF('Paste Notion Export'!J46="","",'Paste Notion Export'!J46)</x:f>
      </x:c>
      <x:c r="L46" s="24" t="str">
        <x:f>IF(B46="","",B46&amp;" — New business")</x:f>
      </x:c>
      <x:c r="M46" s="24" t="str">
        <x:f>IF('Paste Notion Export'!L46="","",'Paste Notion Export'!L46)</x:f>
      </x:c>
      <x:c r="N46" s="24"/>
      <x:c r="O46" s="25" t="str">
        <x:f>IF(B46="","",IF(F46="","CHECK","READY"))</x:f>
      </x:c>
    </x:row>
    <x:row r="47" ht="22" customHeight="1">
      <x:c r="A47" s="23" t="str">
        <x:f>IF('Paste Notion Export'!A47="","",'Paste Notion Export'!A47)</x:f>
      </x:c>
      <x:c r="B47" s="24" t="str">
        <x:f>IF('Paste Notion Export'!B47="","",'Paste Notion Export'!B47)</x:f>
      </x:c>
      <x:c r="C47" s="24" t="str">
        <x:f>IF(B47="","",LOWER(SUBSTITUTE(SUBSTITUTE('Paste Notion Export'!C47,"https://",""),"www.","")))</x:f>
      </x:c>
      <x:c r="D47" s="24" t="str">
        <x:f>IF('Paste Notion Export'!D47="","",IFERROR(LEFT('Paste Notion Export'!D47,FIND(" ",'Paste Notion Export'!D47)-1),'Paste Notion Export'!D47))</x:f>
      </x:c>
      <x:c r="E47" s="24" t="str">
        <x:f>IF('Paste Notion Export'!D47="","",IFERROR(RIGHT('Paste Notion Export'!D47,LEN('Paste Notion Export'!D47)-FIND(" ",'Paste Notion Export'!D47)),""))</x:f>
      </x:c>
      <x:c r="F47" s="24" t="str">
        <x:f>IF('Paste Notion Export'!E47="","",'Paste Notion Export'!E47)</x:f>
      </x:c>
      <x:c r="G47" s="24" t="str">
        <x:f>IF('Paste Notion Export'!F47="","",'Paste Notion Export'!F47)</x:f>
      </x:c>
      <x:c r="H47" s="24" t="str">
        <x:f>IF('Paste Notion Export'!G47="","",'Paste Notion Export'!G47)</x:f>
      </x:c>
      <x:c r="I47" s="24" t="str">
        <x:f>IF('Paste Notion Export'!H47="","",'Paste Notion Export'!H47)</x:f>
      </x:c>
      <x:c r="J47" s="24" t="str">
        <x:f>IF('Paste Notion Export'!I47="","",'Paste Notion Export'!I47)</x:f>
      </x:c>
      <x:c r="K47" s="24" t="str">
        <x:f>IF('Paste Notion Export'!J47="","",'Paste Notion Export'!J47)</x:f>
      </x:c>
      <x:c r="L47" s="24" t="str">
        <x:f>IF(B47="","",B47&amp;" — New business")</x:f>
      </x:c>
      <x:c r="M47" s="24" t="str">
        <x:f>IF('Paste Notion Export'!L47="","",'Paste Notion Export'!L47)</x:f>
      </x:c>
      <x:c r="N47" s="24"/>
      <x:c r="O47" s="25" t="str">
        <x:f>IF(B47="","",IF(F47="","CHECK","READY"))</x:f>
      </x:c>
    </x:row>
    <x:row r="48" ht="22" customHeight="1">
      <x:c r="A48" s="23" t="str">
        <x:f>IF('Paste Notion Export'!A48="","",'Paste Notion Export'!A48)</x:f>
      </x:c>
      <x:c r="B48" s="24" t="str">
        <x:f>IF('Paste Notion Export'!B48="","",'Paste Notion Export'!B48)</x:f>
      </x:c>
      <x:c r="C48" s="24" t="str">
        <x:f>IF(B48="","",LOWER(SUBSTITUTE(SUBSTITUTE('Paste Notion Export'!C48,"https://",""),"www.","")))</x:f>
      </x:c>
      <x:c r="D48" s="24" t="str">
        <x:f>IF('Paste Notion Export'!D48="","",IFERROR(LEFT('Paste Notion Export'!D48,FIND(" ",'Paste Notion Export'!D48)-1),'Paste Notion Export'!D48))</x:f>
      </x:c>
      <x:c r="E48" s="24" t="str">
        <x:f>IF('Paste Notion Export'!D48="","",IFERROR(RIGHT('Paste Notion Export'!D48,LEN('Paste Notion Export'!D48)-FIND(" ",'Paste Notion Export'!D48)),""))</x:f>
      </x:c>
      <x:c r="F48" s="24" t="str">
        <x:f>IF('Paste Notion Export'!E48="","",'Paste Notion Export'!E48)</x:f>
      </x:c>
      <x:c r="G48" s="24" t="str">
        <x:f>IF('Paste Notion Export'!F48="","",'Paste Notion Export'!F48)</x:f>
      </x:c>
      <x:c r="H48" s="24" t="str">
        <x:f>IF('Paste Notion Export'!G48="","",'Paste Notion Export'!G48)</x:f>
      </x:c>
      <x:c r="I48" s="24" t="str">
        <x:f>IF('Paste Notion Export'!H48="","",'Paste Notion Export'!H48)</x:f>
      </x:c>
      <x:c r="J48" s="24" t="str">
        <x:f>IF('Paste Notion Export'!I48="","",'Paste Notion Export'!I48)</x:f>
      </x:c>
      <x:c r="K48" s="24" t="str">
        <x:f>IF('Paste Notion Export'!J48="","",'Paste Notion Export'!J48)</x:f>
      </x:c>
      <x:c r="L48" s="24" t="str">
        <x:f>IF(B48="","",B48&amp;" — New business")</x:f>
      </x:c>
      <x:c r="M48" s="24" t="str">
        <x:f>IF('Paste Notion Export'!L48="","",'Paste Notion Export'!L48)</x:f>
      </x:c>
      <x:c r="N48" s="24"/>
      <x:c r="O48" s="25" t="str">
        <x:f>IF(B48="","",IF(F48="","CHECK","READY"))</x:f>
      </x:c>
    </x:row>
    <x:row r="49" ht="22" customHeight="1">
      <x:c r="A49" s="23" t="str">
        <x:f>IF('Paste Notion Export'!A49="","",'Paste Notion Export'!A49)</x:f>
      </x:c>
      <x:c r="B49" s="24" t="str">
        <x:f>IF('Paste Notion Export'!B49="","",'Paste Notion Export'!B49)</x:f>
      </x:c>
      <x:c r="C49" s="24" t="str">
        <x:f>IF(B49="","",LOWER(SUBSTITUTE(SUBSTITUTE('Paste Notion Export'!C49,"https://",""),"www.","")))</x:f>
      </x:c>
      <x:c r="D49" s="24" t="str">
        <x:f>IF('Paste Notion Export'!D49="","",IFERROR(LEFT('Paste Notion Export'!D49,FIND(" ",'Paste Notion Export'!D49)-1),'Paste Notion Export'!D49))</x:f>
      </x:c>
      <x:c r="E49" s="24" t="str">
        <x:f>IF('Paste Notion Export'!D49="","",IFERROR(RIGHT('Paste Notion Export'!D49,LEN('Paste Notion Export'!D49)-FIND(" ",'Paste Notion Export'!D49)),""))</x:f>
      </x:c>
      <x:c r="F49" s="24" t="str">
        <x:f>IF('Paste Notion Export'!E49="","",'Paste Notion Export'!E49)</x:f>
      </x:c>
      <x:c r="G49" s="24" t="str">
        <x:f>IF('Paste Notion Export'!F49="","",'Paste Notion Export'!F49)</x:f>
      </x:c>
      <x:c r="H49" s="24" t="str">
        <x:f>IF('Paste Notion Export'!G49="","",'Paste Notion Export'!G49)</x:f>
      </x:c>
      <x:c r="I49" s="24" t="str">
        <x:f>IF('Paste Notion Export'!H49="","",'Paste Notion Export'!H49)</x:f>
      </x:c>
      <x:c r="J49" s="24" t="str">
        <x:f>IF('Paste Notion Export'!I49="","",'Paste Notion Export'!I49)</x:f>
      </x:c>
      <x:c r="K49" s="24" t="str">
        <x:f>IF('Paste Notion Export'!J49="","",'Paste Notion Export'!J49)</x:f>
      </x:c>
      <x:c r="L49" s="24" t="str">
        <x:f>IF(B49="","",B49&amp;" — New business")</x:f>
      </x:c>
      <x:c r="M49" s="24" t="str">
        <x:f>IF('Paste Notion Export'!L49="","",'Paste Notion Export'!L49)</x:f>
      </x:c>
      <x:c r="N49" s="24"/>
      <x:c r="O49" s="25" t="str">
        <x:f>IF(B49="","",IF(F49="","CHECK","READY"))</x:f>
      </x:c>
    </x:row>
    <x:row r="50" ht="22" customHeight="1">
      <x:c r="A50" s="23" t="str">
        <x:f>IF('Paste Notion Export'!A50="","",'Paste Notion Export'!A50)</x:f>
      </x:c>
      <x:c r="B50" s="24" t="str">
        <x:f>IF('Paste Notion Export'!B50="","",'Paste Notion Export'!B50)</x:f>
      </x:c>
      <x:c r="C50" s="24" t="str">
        <x:f>IF(B50="","",LOWER(SUBSTITUTE(SUBSTITUTE('Paste Notion Export'!C50,"https://",""),"www.","")))</x:f>
      </x:c>
      <x:c r="D50" s="24" t="str">
        <x:f>IF('Paste Notion Export'!D50="","",IFERROR(LEFT('Paste Notion Export'!D50,FIND(" ",'Paste Notion Export'!D50)-1),'Paste Notion Export'!D50))</x:f>
      </x:c>
      <x:c r="E50" s="24" t="str">
        <x:f>IF('Paste Notion Export'!D50="","",IFERROR(RIGHT('Paste Notion Export'!D50,LEN('Paste Notion Export'!D50)-FIND(" ",'Paste Notion Export'!D50)),""))</x:f>
      </x:c>
      <x:c r="F50" s="24" t="str">
        <x:f>IF('Paste Notion Export'!E50="","",'Paste Notion Export'!E50)</x:f>
      </x:c>
      <x:c r="G50" s="24" t="str">
        <x:f>IF('Paste Notion Export'!F50="","",'Paste Notion Export'!F50)</x:f>
      </x:c>
      <x:c r="H50" s="24" t="str">
        <x:f>IF('Paste Notion Export'!G50="","",'Paste Notion Export'!G50)</x:f>
      </x:c>
      <x:c r="I50" s="24" t="str">
        <x:f>IF('Paste Notion Export'!H50="","",'Paste Notion Export'!H50)</x:f>
      </x:c>
      <x:c r="J50" s="24" t="str">
        <x:f>IF('Paste Notion Export'!I50="","",'Paste Notion Export'!I50)</x:f>
      </x:c>
      <x:c r="K50" s="24" t="str">
        <x:f>IF('Paste Notion Export'!J50="","",'Paste Notion Export'!J50)</x:f>
      </x:c>
      <x:c r="L50" s="24" t="str">
        <x:f>IF(B50="","",B50&amp;" — New business")</x:f>
      </x:c>
      <x:c r="M50" s="24" t="str">
        <x:f>IF('Paste Notion Export'!L50="","",'Paste Notion Export'!L50)</x:f>
      </x:c>
      <x:c r="N50" s="24"/>
      <x:c r="O50" s="25" t="str">
        <x:f>IF(B50="","",IF(F50="","CHECK","READY"))</x:f>
      </x:c>
    </x:row>
    <x:row r="51" ht="22" customHeight="1">
      <x:c r="A51" s="26" t="str">
        <x:f>IF('Paste Notion Export'!A51="","",'Paste Notion Export'!A51)</x:f>
      </x:c>
      <x:c r="B51" s="27" t="str">
        <x:f>IF('Paste Notion Export'!B51="","",'Paste Notion Export'!B51)</x:f>
      </x:c>
      <x:c r="C51" s="27" t="str">
        <x:f>IF(B51="","",LOWER(SUBSTITUTE(SUBSTITUTE('Paste Notion Export'!C51,"https://",""),"www.","")))</x:f>
      </x:c>
      <x:c r="D51" s="27" t="str">
        <x:f>IF('Paste Notion Export'!D51="","",IFERROR(LEFT('Paste Notion Export'!D51,FIND(" ",'Paste Notion Export'!D51)-1),'Paste Notion Export'!D51))</x:f>
      </x:c>
      <x:c r="E51" s="27" t="str">
        <x:f>IF('Paste Notion Export'!D51="","",IFERROR(RIGHT('Paste Notion Export'!D51,LEN('Paste Notion Export'!D51)-FIND(" ",'Paste Notion Export'!D51)),""))</x:f>
      </x:c>
      <x:c r="F51" s="27" t="str">
        <x:f>IF('Paste Notion Export'!E51="","",'Paste Notion Export'!E51)</x:f>
      </x:c>
      <x:c r="G51" s="27" t="str">
        <x:f>IF('Paste Notion Export'!F51="","",'Paste Notion Export'!F51)</x:f>
      </x:c>
      <x:c r="H51" s="27" t="str">
        <x:f>IF('Paste Notion Export'!G51="","",'Paste Notion Export'!G51)</x:f>
      </x:c>
      <x:c r="I51" s="27" t="str">
        <x:f>IF('Paste Notion Export'!H51="","",'Paste Notion Export'!H51)</x:f>
      </x:c>
      <x:c r="J51" s="27" t="str">
        <x:f>IF('Paste Notion Export'!I51="","",'Paste Notion Export'!I51)</x:f>
      </x:c>
      <x:c r="K51" s="27" t="str">
        <x:f>IF('Paste Notion Export'!J51="","",'Paste Notion Export'!J51)</x:f>
      </x:c>
      <x:c r="L51" s="27" t="str">
        <x:f>IF(B51="","",B51&amp;" — New business")</x:f>
      </x:c>
      <x:c r="M51" s="27" t="str">
        <x:f>IF('Paste Notion Export'!L51="","",'Paste Notion Export'!L51)</x:f>
      </x:c>
      <x:c r="N51" s="27"/>
      <x:c r="O51" s="28" t="str">
        <x:f>IF(B51="","",IF(F51="","CHECK","READY"))</x:f>
      </x:c>
    </x:row>
  </x:sheetData>
  <x:conditionalFormatting sqref="O2:O51">
    <x:cfRule type="containsText" dxfId="0" priority="1" operator="containsText" text="CHECK"/>
    <x:cfRule type="containsText" dxfId="1" priority="2" operator="containsText" text="READY"/>
  </x:conditionalFormatting>
  <x:dataValidations count="1">
    <x:dataValidation type="list" sqref="N2:N51">
      <x:formula1>",Created,Updated,Skipped"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42" hidden="0" customWidth="1"/>
  </x:cols>
  <x:sheetData>
    <x:row r="1" ht="25" customHeight="1">
      <x:c r="A1" s="18" t="str">
        <x:v>Source column</x:v>
      </x:c>
      <x:c r="B1" s="18" t="str">
        <x:v>Working column</x:v>
      </x:c>
      <x:c r="C1" s="18" t="str">
        <x:v>Attio destination</x:v>
      </x:c>
      <x:c r="D1" s="18" t="str">
        <x:v>Current handling</x:v>
      </x:c>
    </x:row>
    <x:row r="2" ht="25" customHeight="1">
      <x:c r="A2" s="33" t="str">
        <x:v>Source ID</x:v>
      </x:c>
      <x:c r="B2" s="34" t="str">
        <x:v>Source ID</x:v>
      </x:c>
      <x:c r="C2" s="34" t="str">
        <x:v>Source ID (custom)</x:v>
      </x:c>
      <x:c r="D2" s="35" t="str">
        <x:v>Copied; often omitted during manual entry</x:v>
      </x:c>
    </x:row>
    <x:row r="3" ht="25" customHeight="1">
      <x:c r="A3" s="36" t="str">
        <x:v>Account</x:v>
      </x:c>
      <x:c r="B3" s="37" t="str">
        <x:v>Company</x:v>
      </x:c>
      <x:c r="C3" s="37" t="str">
        <x:v>Company name</x:v>
      </x:c>
      <x:c r="D3" s="38" t="str">
        <x:v>Copied</x:v>
      </x:c>
    </x:row>
    <x:row r="4" ht="25" customHeight="1">
      <x:c r="A4" s="36" t="str">
        <x:v>Website</x:v>
      </x:c>
      <x:c r="B4" s="37" t="str">
        <x:v>Domain</x:v>
      </x:c>
      <x:c r="C4" s="37" t="str">
        <x:v>Company domain</x:v>
      </x:c>
      <x:c r="D4" s="38" t="str">
        <x:v>Formula removes https:// and www.</x:v>
      </x:c>
    </x:row>
    <x:row r="5" ht="25" customHeight="1">
      <x:c r="A5" s="36" t="str">
        <x:v>Contact</x:v>
      </x:c>
      <x:c r="B5" s="37" t="str">
        <x:v>First / last name</x:v>
      </x:c>
      <x:c r="C5" s="37" t="str">
        <x:v>Person name</x:v>
      </x:c>
      <x:c r="D5" s="38" t="str">
        <x:v>Formula splits on first space</x:v>
      </x:c>
    </x:row>
    <x:row r="6" ht="25" customHeight="1">
      <x:c r="A6" s="36" t="str">
        <x:v>Work email</x:v>
      </x:c>
      <x:c r="B6" s="37" t="str">
        <x:v>Email</x:v>
      </x:c>
      <x:c r="C6" s="37" t="str">
        <x:v>Email address</x:v>
      </x:c>
      <x:c r="D6" s="38" t="str">
        <x:v>Copied</x:v>
      </x:c>
    </x:row>
    <x:row r="7" ht="25" customHeight="1">
      <x:c r="A7" s="36" t="str">
        <x:v>Job title</x:v>
      </x:c>
      <x:c r="B7" s="37" t="str">
        <x:v>Job title</x:v>
      </x:c>
      <x:c r="C7" s="37" t="str">
        <x:v>Job title</x:v>
      </x:c>
      <x:c r="D7" s="38" t="str">
        <x:v>Copied</x:v>
      </x:c>
    </x:row>
    <x:row r="8" ht="25" customHeight="1">
      <x:c r="A8" s="36" t="str">
        <x:v>LinkedIn</x:v>
      </x:c>
      <x:c r="B8" s="37" t="str">
        <x:v>LinkedIn</x:v>
      </x:c>
      <x:c r="C8" s="37" t="str">
        <x:v>LinkedIn</x:v>
      </x:c>
      <x:c r="D8" s="38" t="str">
        <x:v>Copied when time permits</x:v>
      </x:c>
    </x:row>
    <x:row r="9" ht="25" customHeight="1">
      <x:c r="A9" s="36" t="str">
        <x:v>Lead source</x:v>
      </x:c>
      <x:c r="B9" s="37" t="str">
        <x:v>Lead source</x:v>
      </x:c>
      <x:c r="C9" s="37" t="str">
        <x:v>Lead source (custom)</x:v>
      </x:c>
      <x:c r="D9" s="38" t="str">
        <x:v>Copied</x:v>
      </x:c>
    </x:row>
    <x:row r="10" ht="25" customHeight="1">
      <x:c r="A10" s="36" t="str">
        <x:v>Segment</x:v>
      </x:c>
      <x:c r="B10" s="37" t="str">
        <x:v>Segment</x:v>
      </x:c>
      <x:c r="C10" s="37" t="str">
        <x:v>Segment (custom)</x:v>
      </x:c>
      <x:c r="D10" s="38" t="str">
        <x:v>Copied</x:v>
      </x:c>
    </x:row>
    <x:row r="11" ht="25" customHeight="1">
      <x:c r="A11" s="36" t="str">
        <x:v>Employees</x:v>
      </x:c>
      <x:c r="B11" s="37" t="str">
        <x:v>Employees</x:v>
      </x:c>
      <x:c r="C11" s="37" t="str">
        <x:v>Employee range</x:v>
      </x:c>
      <x:c r="D11" s="38" t="str">
        <x:v>Copied as displayed</x:v>
      </x:c>
    </x:row>
    <x:row r="12" ht="25" customHeight="1">
      <x:c r="A12" s="39" t="str">
        <x:v>Research notes</x:v>
      </x:c>
      <x:c r="B12" s="40" t="str">
        <x:v>Research notes</x:v>
      </x:c>
      <x:c r="C12" s="40" t="str">
        <x:v>Notes</x:v>
      </x:c>
      <x:c r="D12" s="41" t="str">
        <x:v>Pasted into person record</x:v>
      </x:c>
    </x:row>
  </x:sheetData>
  <x:pageMargins left="0.7" right="0.7" top="0.75" bottom="0.75" header="0.3" footer="0.3"/>
</x:worksheet>
</file>